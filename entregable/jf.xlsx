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esktop\"/>
    </mc:Choice>
  </mc:AlternateContent>
  <xr:revisionPtr revIDLastSave="0" documentId="8_{B9D86DDB-066B-4E21-B734-16A90FFBCD82}" xr6:coauthVersionLast="36" xr6:coauthVersionMax="36" xr10:uidLastSave="{00000000-0000-0000-0000-000000000000}"/>
  <bookViews>
    <workbookView xWindow="0" yWindow="0" windowWidth="20460" windowHeight="7665" activeTab="3" xr2:uid="{00000000-000D-0000-FFFF-FFFF00000000}"/>
  </bookViews>
  <sheets>
    <sheet name="Índice" sheetId="1" r:id="rId1"/>
    <sheet name="1 Notas" sheetId="2" r:id="rId2"/>
    <sheet name="2 Ventas" sheetId="3" r:id="rId3"/>
    <sheet name="3 Inventario" sheetId="4" r:id="rId4"/>
    <sheet name="4 Nómina" sheetId="5" r:id="rId5"/>
    <sheet name="5 Factura" sheetId="6" r:id="rId6"/>
    <sheet name="6 Descuentos" sheetId="7" r:id="rId7"/>
    <sheet name="7 Temperaturas" sheetId="8" r:id="rId8"/>
    <sheet name="8 Asistencia" sheetId="9" r:id="rId9"/>
    <sheet name="9 Presupuesto" sheetId="10" r:id="rId10"/>
    <sheet name="10 Liga" sheetId="11" r:id="rId11"/>
  </sheets>
  <calcPr calcId="191029"/>
</workbook>
</file>

<file path=xl/calcChain.xml><?xml version="1.0" encoding="utf-8"?>
<calcChain xmlns="http://schemas.openxmlformats.org/spreadsheetml/2006/main">
  <c r="F9" i="4" l="1"/>
  <c r="F7" i="4"/>
  <c r="F8" i="4"/>
  <c r="F10" i="4"/>
  <c r="F11" i="4"/>
  <c r="F12" i="4"/>
  <c r="F13" i="4"/>
  <c r="F14" i="4"/>
  <c r="F15" i="4"/>
  <c r="F16" i="4"/>
  <c r="E7" i="4"/>
  <c r="E8" i="4"/>
  <c r="E9" i="4"/>
  <c r="E10" i="4"/>
  <c r="E11" i="4"/>
  <c r="E12" i="4"/>
  <c r="E13" i="4"/>
  <c r="E14" i="4"/>
  <c r="E15" i="4"/>
  <c r="E16" i="4"/>
  <c r="G8" i="3"/>
  <c r="H14" i="3"/>
  <c r="H13" i="3"/>
  <c r="H12" i="3"/>
  <c r="H11" i="3"/>
  <c r="H10" i="3"/>
  <c r="H9" i="3"/>
  <c r="H8" i="3"/>
  <c r="F7" i="3"/>
  <c r="B16" i="3" s="1"/>
  <c r="B17" i="3" s="1"/>
  <c r="B18" i="3" s="1"/>
  <c r="B19" i="3" s="1"/>
  <c r="B20" i="3"/>
  <c r="G7" i="3"/>
  <c r="G9" i="3"/>
  <c r="G10" i="3"/>
  <c r="G11" i="3"/>
  <c r="G12" i="3"/>
  <c r="G13" i="3"/>
  <c r="G14" i="3"/>
  <c r="F8" i="3"/>
  <c r="F9" i="3"/>
  <c r="F10" i="3"/>
  <c r="F11" i="3"/>
  <c r="F12" i="3"/>
  <c r="F13" i="3"/>
  <c r="F14" i="3"/>
  <c r="H7" i="2"/>
  <c r="G8" i="2"/>
  <c r="G9" i="2"/>
  <c r="G10" i="2"/>
  <c r="G11" i="2"/>
  <c r="G12" i="2"/>
  <c r="G13" i="2"/>
  <c r="G14" i="2"/>
  <c r="G15" i="2"/>
  <c r="G16" i="2"/>
  <c r="G7" i="2"/>
  <c r="B18" i="4" l="1"/>
  <c r="H7" i="3"/>
</calcChain>
</file>

<file path=xl/sharedStrings.xml><?xml version="1.0" encoding="utf-8"?>
<sst xmlns="http://schemas.openxmlformats.org/spreadsheetml/2006/main" count="401" uniqueCount="260">
  <si>
    <t>10 ejercicios de Excel con fórmulas</t>
  </si>
  <si>
    <t>Cada hoja contiene un ejercicio. Lee el enunciado, completa las celdas amarillas con fórmulas y comprueba que al cambiar los datos en azul los resultados se actualicen solos.</t>
  </si>
  <si>
    <t>Hoja</t>
  </si>
  <si>
    <t>Ejercicio</t>
  </si>
  <si>
    <t>Funciones que se practican</t>
  </si>
  <si>
    <t>1 Notas</t>
  </si>
  <si>
    <t>¿Quién aprueba?</t>
  </si>
  <si>
    <t>PROMEDIO, SI, CONTAR.SI, MAX, MIN</t>
  </si>
  <si>
    <t>2 Ventas</t>
  </si>
  <si>
    <t>Ventas del trimestre</t>
  </si>
  <si>
    <t>SUMA, PROMEDIO, SUMAR.SI, referencias $</t>
  </si>
  <si>
    <t>3 Inventario</t>
  </si>
  <si>
    <t>Control de inventario</t>
  </si>
  <si>
    <t>SI, SUMA, CONTAR.SI</t>
  </si>
  <si>
    <t>4 Nómina</t>
  </si>
  <si>
    <t>Nómina con horas extra</t>
  </si>
  <si>
    <t>MIN, MAX, SUMA, CONTAR.SI</t>
  </si>
  <si>
    <t>5 Factura</t>
  </si>
  <si>
    <t>Factura de compra</t>
  </si>
  <si>
    <t>SUMA, referencias $</t>
  </si>
  <si>
    <t>6 Descuentos</t>
  </si>
  <si>
    <t>Descuento según el monto</t>
  </si>
  <si>
    <t>SI anidado, referencias $</t>
  </si>
  <si>
    <t>7 Temperaturas</t>
  </si>
  <si>
    <t>Temperaturas de la semana</t>
  </si>
  <si>
    <t>PROMEDIO, MAX, MIN, CONTAR.SI con &gt;</t>
  </si>
  <si>
    <t>8 Asistencia</t>
  </si>
  <si>
    <t>Registro de asistencia</t>
  </si>
  <si>
    <t>CONTAR.SI, SI, porcentajes</t>
  </si>
  <si>
    <t>9 Presupuesto</t>
  </si>
  <si>
    <t>Presupuesto del hogar</t>
  </si>
  <si>
    <t>SI, SUMA, % del total</t>
  </si>
  <si>
    <t>10 Liga</t>
  </si>
  <si>
    <t>Tabla de posiciones</t>
  </si>
  <si>
    <t>SUMA, JERARQUIA, INDICE+COINCIDIR</t>
  </si>
  <si>
    <t>Leyenda:</t>
  </si>
  <si>
    <t>Celda amarilla</t>
  </si>
  <si>
    <t>Aquí va tu fórmula</t>
  </si>
  <si>
    <t>Texto azul</t>
  </si>
  <si>
    <t>Dato o parámetro que puedes cambiar para probar</t>
  </si>
  <si>
    <t>Nota: los nombres de las funciones están en español (Excel en español). Equivalentes en inglés: PROMEDIO=AVERAGE, SI=IF, CONTAR.SI=COUNTIF, SUMAR.SI=SUMIF, REDONDEAR=ROUND, JERARQUIA=RANK, INDICE=INDEX, COINCIDIR=MATCH.</t>
  </si>
  <si>
    <t>Ejercicio 1: ¿Quién aprueba?</t>
  </si>
  <si>
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</si>
  <si>
    <t>Funciones sugeridas: PROMEDIO, SI, CONTAR.SI, MAX, MIN, REDONDEAR</t>
  </si>
  <si>
    <t>Las celdas amarillas son las que debes completar con una fórmula. Los datos en azul los puedes cambiar para probar que tus fórmulas se actualizan.</t>
  </si>
  <si>
    <t>Estudiante</t>
  </si>
  <si>
    <t>Nota 1</t>
  </si>
  <si>
    <t>Nota 2</t>
  </si>
  <si>
    <t>Nota 3</t>
  </si>
  <si>
    <t>Nota 4</t>
  </si>
  <si>
    <t>Nota 5</t>
  </si>
  <si>
    <t>Promedio</t>
  </si>
  <si>
    <t>Resultado</t>
  </si>
  <si>
    <t>Nota mínima:</t>
  </si>
  <si>
    <t>Ana Torres</t>
  </si>
  <si>
    <t>Luis Pérez</t>
  </si>
  <si>
    <t>María Gómez</t>
  </si>
  <si>
    <t>Carlos Ruiz</t>
  </si>
  <si>
    <t>Sofía Díaz</t>
  </si>
  <si>
    <t>Diego Ramos</t>
  </si>
  <si>
    <t>Valentina Mora</t>
  </si>
  <si>
    <t>Andrés Castro</t>
  </si>
  <si>
    <t>Camila Rojas</t>
  </si>
  <si>
    <t>Mateo Vargas</t>
  </si>
  <si>
    <t>Cantidad que aprueban:</t>
  </si>
  <si>
    <t>Cantidad que no aprueban:</t>
  </si>
  <si>
    <t>Promedio del grupo:</t>
  </si>
  <si>
    <t>Promedio más alto:</t>
  </si>
  <si>
    <t>Promedio más bajo:</t>
  </si>
  <si>
    <t>Ejercicio 2: Ventas del trimestre</t>
  </si>
  <si>
    <t>Una empresa tiene 8 vendedores en tres regiones. Calcula el total vendido por cada uno en el trimestre, su promedio mensual y la comisión que le corresponde (el porcentaje está en la celda J6). Luego calcula cuánto vendió cada región en total.</t>
  </si>
  <si>
    <t>Funciones sugeridas: SUMA, PROMEDIO, SUMAR.SI, MAX, referencias absolutas ($)</t>
  </si>
  <si>
    <t>Vendedor</t>
  </si>
  <si>
    <t>Región</t>
  </si>
  <si>
    <t>Enero</t>
  </si>
  <si>
    <t>Febrero</t>
  </si>
  <si>
    <t>Marzo</t>
  </si>
  <si>
    <t>Total</t>
  </si>
  <si>
    <t>Promedio mensual</t>
  </si>
  <si>
    <t>Comisión</t>
  </si>
  <si>
    <t>Comisión:</t>
  </si>
  <si>
    <t>Pedro López</t>
  </si>
  <si>
    <t>Norte</t>
  </si>
  <si>
    <t>Laura Méndez</t>
  </si>
  <si>
    <t>Sur</t>
  </si>
  <si>
    <t>Jorge Silva</t>
  </si>
  <si>
    <t>Centro</t>
  </si>
  <si>
    <t>Elena Cruz</t>
  </si>
  <si>
    <t>Raúl Ortega</t>
  </si>
  <si>
    <t>Marta Núñez</t>
  </si>
  <si>
    <t>Iván Herrera</t>
  </si>
  <si>
    <t>Rosa Aguilar</t>
  </si>
  <si>
    <t>Total región Norte:</t>
  </si>
  <si>
    <t>Total región Sur:</t>
  </si>
  <si>
    <t>Total región Centro:</t>
  </si>
  <si>
    <t>Venta total de la empresa:</t>
  </si>
  <si>
    <t>Mayor venta individual:</t>
  </si>
  <si>
    <t>Ejercicio 3: Control de inventario</t>
  </si>
  <si>
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</si>
  <si>
    <t>Funciones sugeridas: SI, SUMA, CONTAR.SI, multiplicación</t>
  </si>
  <si>
    <t>Producto</t>
  </si>
  <si>
    <t>Cantidad</t>
  </si>
  <si>
    <t>Stock mínimo</t>
  </si>
  <si>
    <t>Precio unitario</t>
  </si>
  <si>
    <t>Valor total</t>
  </si>
  <si>
    <t>Estado</t>
  </si>
  <si>
    <t>Cuadernos</t>
  </si>
  <si>
    <t>Lápices</t>
  </si>
  <si>
    <t>Bolígrafos</t>
  </si>
  <si>
    <t>Borradores</t>
  </si>
  <si>
    <t>Reglas</t>
  </si>
  <si>
    <t>Marcadores</t>
  </si>
  <si>
    <t>Carpetas</t>
  </si>
  <si>
    <t>Tijeras</t>
  </si>
  <si>
    <t>Pegamento</t>
  </si>
  <si>
    <t>Colores (caja)</t>
  </si>
  <si>
    <t>Valor total del inventario:</t>
  </si>
  <si>
    <t>Productos por reponer:</t>
  </si>
  <si>
    <t>Unidades totales en bodega:</t>
  </si>
  <si>
    <t>Ejercicio 4: Nómina con horas extra</t>
  </si>
  <si>
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</si>
  <si>
    <t>Funciones sugeridas: MIN, MAX, SUMA, CONTAR.SI, referencias absolutas ($)</t>
  </si>
  <si>
    <t>Empleado</t>
  </si>
  <si>
    <t>Horas trabajadas</t>
  </si>
  <si>
    <t>Tarifa por hora</t>
  </si>
  <si>
    <t>Horas normales</t>
  </si>
  <si>
    <t>Horas extra</t>
  </si>
  <si>
    <t>Pago total</t>
  </si>
  <si>
    <t>Recargo extra:</t>
  </si>
  <si>
    <t>Juan Molina</t>
  </si>
  <si>
    <t>Patricia Vega</t>
  </si>
  <si>
    <t>Óscar Bravo</t>
  </si>
  <si>
    <t>Lucía Paredes</t>
  </si>
  <si>
    <t>Fernando Ríos</t>
  </si>
  <si>
    <t>Gabriela Soto</t>
  </si>
  <si>
    <t>Héctor Lara</t>
  </si>
  <si>
    <t>Natalia Peña</t>
  </si>
  <si>
    <t>Total de la nómina:</t>
  </si>
  <si>
    <t>Empleados con horas extra:</t>
  </si>
  <si>
    <t>Total de horas extra:</t>
  </si>
  <si>
    <t>Ejercicio 5: Factura de compra</t>
  </si>
  <si>
    <t>Un cliente compra varios productos. Calcula el subtotal de cada línea (cantidad × precio), luego el subtotal de la factura, el IVA (porcentaje en la celda J6) y el total a pagar.</t>
  </si>
  <si>
    <t>Funciones sugeridas: SUMA, multiplicación, referencias absolutas ($)</t>
  </si>
  <si>
    <t>Subtotal</t>
  </si>
  <si>
    <t>IVA:</t>
  </si>
  <si>
    <t>Teclado</t>
  </si>
  <si>
    <t>Mouse</t>
  </si>
  <si>
    <t>Monitor 24 pulgadas</t>
  </si>
  <si>
    <t>Cable HDMI</t>
  </si>
  <si>
    <t>Audífonos</t>
  </si>
  <si>
    <t>Base para laptop</t>
  </si>
  <si>
    <t>Subtotal:</t>
  </si>
  <si>
    <t>TOTAL A PAGAR:</t>
  </si>
  <si>
    <t>Cantidad de artículos:</t>
  </si>
  <si>
    <t>Ejercicio 6: Descuento según el monto</t>
  </si>
  <si>
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</si>
  <si>
    <t>Funciones sugeridas: SI anidado (un SI dentro de otro SI), referencias absolutas ($)</t>
  </si>
  <si>
    <t>Regla</t>
  </si>
  <si>
    <t>Desde</t>
  </si>
  <si>
    <t>Descuento</t>
  </si>
  <si>
    <t>Alto</t>
  </si>
  <si>
    <t>Medio</t>
  </si>
  <si>
    <t>Cliente</t>
  </si>
  <si>
    <t>Monto de compra</t>
  </si>
  <si>
    <t>% Descuento</t>
  </si>
  <si>
    <t>Total a pagar</t>
  </si>
  <si>
    <t>Total vendido:</t>
  </si>
  <si>
    <t>Total en descuentos:</t>
  </si>
  <si>
    <t>Clientes con descuento:</t>
  </si>
  <si>
    <t>Ejercicio 7: Temperaturas de la semana</t>
  </si>
  <si>
    <t>Se registró la temperatura máxima diaria (°C) de 6 ciudades durante una semana. Para cada ciudad calcula el promedio, la temperatura más alta, la más baja y cuántos días fueron calurosos (más de 30 °C; el límite está en la celda M6).</t>
  </si>
  <si>
    <t>Funciones sugeridas: PROMEDIO, MAX, MIN, CONTAR.SI con criterio de comparación ("&gt;"&amp;celda)</t>
  </si>
  <si>
    <t>Ciudad</t>
  </si>
  <si>
    <t>Lun</t>
  </si>
  <si>
    <t>Mar</t>
  </si>
  <si>
    <t>Mié</t>
  </si>
  <si>
    <t>Jue</t>
  </si>
  <si>
    <t>Vie</t>
  </si>
  <si>
    <t>Sáb</t>
  </si>
  <si>
    <t>Dom</t>
  </si>
  <si>
    <t>Máxima</t>
  </si>
  <si>
    <t>Mínima</t>
  </si>
  <si>
    <t>Días calurosos</t>
  </si>
  <si>
    <t>Cartagena</t>
  </si>
  <si>
    <t>Bogotá</t>
  </si>
  <si>
    <t>Medellín</t>
  </si>
  <si>
    <t>Cali</t>
  </si>
  <si>
    <t>Barranquilla</t>
  </si>
  <si>
    <t>Manizales</t>
  </si>
  <si>
    <t>Temperatura más alta de la semana:</t>
  </si>
  <si>
    <t>Temperatura más baja de la semana:</t>
  </si>
  <si>
    <t>Total de días calurosos:</t>
  </si>
  <si>
    <t>Reto: ciudad con el promedio más alto:</t>
  </si>
  <si>
    <t>Ejercicio 8: Registro de asistencia</t>
  </si>
  <si>
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</si>
  <si>
    <t>Funciones sugeridas: CONTAR.SI, SI, división, formato de porcentaje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</si>
  <si>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</si>
  <si>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</si>
  <si>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</si>
  <si>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</si>
  <si>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</si>
  <si>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</si>
  <si>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</si>
  <si>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</si>
  <si>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</si>
  <si>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</si>
  <si>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Asistencias</t>
  </si>
  <si>
    <t>% Asistencia</t>
  </si>
  <si>
    <t>P</t>
  </si>
  <si>
    <t>A</t>
  </si>
  <si>
    <t>Estudiantes que cumplen:</t>
  </si>
  <si>
    <t>Estudiantes que no cumplen:</t>
  </si>
  <si>
    <t>Asistencia promedio del grupo:</t>
  </si>
  <si>
    <t>Total de ausencias del grupo:</t>
  </si>
  <si>
    <t>Ejercicio 9: Presupuesto del hogar</t>
  </si>
  <si>
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</si>
  <si>
    <t>Funciones sugeridas: SI, SUMA, división con referencia absoluta, formato de porcentaje</t>
  </si>
  <si>
    <t>Categoría</t>
  </si>
  <si>
    <t>Presupuesto</t>
  </si>
  <si>
    <t>Gasto real</t>
  </si>
  <si>
    <t>Diferencia</t>
  </si>
  <si>
    <t>% del gasto total</t>
  </si>
  <si>
    <t>Arriendo</t>
  </si>
  <si>
    <t>Alimentación</t>
  </si>
  <si>
    <t>Transporte</t>
  </si>
  <si>
    <t>Servicios</t>
  </si>
  <si>
    <t>Educación</t>
  </si>
  <si>
    <t>Salud</t>
  </si>
  <si>
    <t>Entretenimiento</t>
  </si>
  <si>
    <t>Ropa</t>
  </si>
  <si>
    <t>Ahorro</t>
  </si>
  <si>
    <t>Total presupuestado:</t>
  </si>
  <si>
    <t>Total gastado:</t>
  </si>
  <si>
    <t>Diferencia total:</t>
  </si>
  <si>
    <t>Categorías excedidas:</t>
  </si>
  <si>
    <t>Ejercicio 10: Tabla de posiciones</t>
  </si>
  <si>
    <t>En un torneo de fútbol cada equipo suma 3 puntos por partido ganado y 1 por empate. Calcula los partidos jugados, los puntos, la diferencia de goles y la posición de cada equipo en la tabla (el 1 es el que tiene más puntos).</t>
  </si>
  <si>
    <t>Funciones sugeridas: SUMA, JERARQUIA (o JERARQUIA.EQV), resta, INDICE + COINCIDIR (reto)</t>
  </si>
  <si>
    <t>Equipo</t>
  </si>
  <si>
    <t>Ganados</t>
  </si>
  <si>
    <t>Empatados</t>
  </si>
  <si>
    <t>Perdidos</t>
  </si>
  <si>
    <t>Goles a favor</t>
  </si>
  <si>
    <t>Goles en contra</t>
  </si>
  <si>
    <t>Partidos jugados</t>
  </si>
  <si>
    <t>Puntos</t>
  </si>
  <si>
    <t>Dif. goles</t>
  </si>
  <si>
    <t>Posición</t>
  </si>
  <si>
    <t>Leones</t>
  </si>
  <si>
    <t>Tigres</t>
  </si>
  <si>
    <t>Águilas</t>
  </si>
  <si>
    <t>Halcones</t>
  </si>
  <si>
    <t>Lobos</t>
  </si>
  <si>
    <t>Toros</t>
  </si>
  <si>
    <t>Pumas</t>
  </si>
  <si>
    <t>Cóndores</t>
  </si>
  <si>
    <t>Puntos del líder:</t>
  </si>
  <si>
    <t>Total de goles del torneo:</t>
  </si>
  <si>
    <t>Equipos con más de 15 puntos:</t>
  </si>
  <si>
    <t>Reto: nombre del equipo campeón: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</si>
</sst>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$#,##0"/>
    <numFmt numFmtId="166" formatCode="\$#,##0;\-\$#,##0"/>
    <numFmt numFmtId="167" formatCode="0.0%"/>
    <numFmt numFmtId="168" formatCode="0;\-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0"/>
      <name val="Arial"/>
    </font>
    <font>
      <b/>
      <sz val="10"/>
      <color rgb="FF0000FF"/>
      <name val="Arial"/>
    </font>
    <font>
      <i/>
      <sz val="9"/>
      <color rgb="FF595959"/>
      <name val="Arial"/>
    </font>
    <font>
      <i/>
      <sz val="10"/>
      <color rgb="FF595959"/>
      <name val="Arial"/>
    </font>
    <font>
      <i/>
      <sz val="9"/>
      <color rgb="FF7F6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/>
    <xf numFmtId="9" fontId="6" fillId="0" borderId="1" xfId="0" applyNumberFormat="1" applyFont="1" applyBorder="1"/>
    <xf numFmtId="9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>
      <selection activeCell="A7" sqref="A7"/>
    </sheetView>
  </sheetViews>
  <sheetFormatPr baseColWidth="10" defaultColWidth="9.140625" defaultRowHeight="15" x14ac:dyDescent="0.25"/>
  <cols>
    <col min="1" max="1" width="18" customWidth="1"/>
    <col min="2" max="2" width="30" customWidth="1"/>
    <col min="3" max="3" width="42" customWidth="1"/>
  </cols>
  <sheetData>
    <row r="1" spans="1:3" ht="18" x14ac:dyDescent="0.25">
      <c r="A1" s="1" t="s">
        <v>0</v>
      </c>
    </row>
    <row r="2" spans="1:3" ht="32.1" customHeight="1" x14ac:dyDescent="0.25">
      <c r="A2" s="29" t="s">
        <v>1</v>
      </c>
      <c r="B2" s="30"/>
      <c r="C2" s="30"/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 t="s">
        <v>6</v>
      </c>
      <c r="C5" s="4" t="s">
        <v>7</v>
      </c>
    </row>
    <row r="6" spans="1:3" x14ac:dyDescent="0.25">
      <c r="A6" s="3" t="s">
        <v>8</v>
      </c>
      <c r="B6" s="4" t="s">
        <v>9</v>
      </c>
      <c r="C6" s="4" t="s">
        <v>10</v>
      </c>
    </row>
    <row r="7" spans="1:3" x14ac:dyDescent="0.25">
      <c r="A7" s="3" t="s">
        <v>11</v>
      </c>
      <c r="B7" s="4" t="s">
        <v>12</v>
      </c>
      <c r="C7" s="4" t="s">
        <v>13</v>
      </c>
    </row>
    <row r="8" spans="1:3" x14ac:dyDescent="0.25">
      <c r="A8" s="3" t="s">
        <v>14</v>
      </c>
      <c r="B8" s="4" t="s">
        <v>15</v>
      </c>
      <c r="C8" s="4" t="s">
        <v>16</v>
      </c>
    </row>
    <row r="9" spans="1:3" x14ac:dyDescent="0.25">
      <c r="A9" s="3" t="s">
        <v>17</v>
      </c>
      <c r="B9" s="4" t="s">
        <v>18</v>
      </c>
      <c r="C9" s="4" t="s">
        <v>19</v>
      </c>
    </row>
    <row r="10" spans="1:3" x14ac:dyDescent="0.25">
      <c r="A10" s="3" t="s">
        <v>20</v>
      </c>
      <c r="B10" s="4" t="s">
        <v>21</v>
      </c>
      <c r="C10" s="4" t="s">
        <v>22</v>
      </c>
    </row>
    <row r="11" spans="1:3" x14ac:dyDescent="0.25">
      <c r="A11" s="3" t="s">
        <v>23</v>
      </c>
      <c r="B11" s="4" t="s">
        <v>24</v>
      </c>
      <c r="C11" s="4" t="s">
        <v>25</v>
      </c>
    </row>
    <row r="12" spans="1:3" x14ac:dyDescent="0.25">
      <c r="A12" s="3" t="s">
        <v>26</v>
      </c>
      <c r="B12" s="4" t="s">
        <v>27</v>
      </c>
      <c r="C12" s="4" t="s">
        <v>28</v>
      </c>
    </row>
    <row r="13" spans="1:3" x14ac:dyDescent="0.25">
      <c r="A13" s="3" t="s">
        <v>29</v>
      </c>
      <c r="B13" s="4" t="s">
        <v>30</v>
      </c>
      <c r="C13" s="4" t="s">
        <v>31</v>
      </c>
    </row>
    <row r="14" spans="1:3" x14ac:dyDescent="0.25">
      <c r="A14" s="3" t="s">
        <v>32</v>
      </c>
      <c r="B14" s="4" t="s">
        <v>33</v>
      </c>
      <c r="C14" s="4" t="s">
        <v>34</v>
      </c>
    </row>
    <row r="16" spans="1:3" x14ac:dyDescent="0.25">
      <c r="A16" s="5" t="s">
        <v>35</v>
      </c>
    </row>
    <row r="17" spans="1:2" x14ac:dyDescent="0.25">
      <c r="A17" s="6" t="s">
        <v>36</v>
      </c>
      <c r="B17" s="7" t="s">
        <v>37</v>
      </c>
    </row>
    <row r="18" spans="1:2" x14ac:dyDescent="0.25">
      <c r="A18" s="8" t="s">
        <v>38</v>
      </c>
      <c r="B18" s="7" t="s">
        <v>39</v>
      </c>
    </row>
    <row r="20" spans="1:2" x14ac:dyDescent="0.25">
      <c r="A20" s="9" t="s">
        <v>40</v>
      </c>
    </row>
  </sheetData>
  <mergeCells count="1">
    <mergeCell ref="A2:C2"/>
  </mergeCells>
  <hyperlinks>
    <hyperlink ref="A5" location="'1 Notas'!A1" display="1 Notas" xr:uid="{00000000-0004-0000-0000-000000000000}"/>
    <hyperlink ref="A6" location="'2 Ventas'!A1" display="2 Ventas" xr:uid="{00000000-0004-0000-0000-000001000000}"/>
    <hyperlink ref="A7" location="'3 Inventario'!A1" display="3 Inventario" xr:uid="{00000000-0004-0000-0000-000002000000}"/>
    <hyperlink ref="A8" location="'4 Nómina'!A1" display="4 Nómina" xr:uid="{00000000-0004-0000-0000-000003000000}"/>
    <hyperlink ref="A9" location="'5 Factura'!A1" display="5 Factura" xr:uid="{00000000-0004-0000-0000-000004000000}"/>
    <hyperlink ref="A10" location="'6 Descuentos'!A1" display="6 Descuentos" xr:uid="{00000000-0004-0000-0000-000005000000}"/>
    <hyperlink ref="A11" location="'7 Temperaturas'!A1" display="7 Temperaturas" xr:uid="{00000000-0004-0000-0000-000006000000}"/>
    <hyperlink ref="A12" location="'8 Asistencia'!A1" display="8 Asistencia" xr:uid="{00000000-0004-0000-0000-000007000000}"/>
    <hyperlink ref="A13" location="'9 Presupuesto'!A1" display="9 Presupuesto" xr:uid="{00000000-0004-0000-0000-000008000000}"/>
    <hyperlink ref="A14" location="'10 Liga'!A1" display="10 Lig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topLeftCell="A2" workbookViewId="0">
      <selection activeCell="G7" sqref="G7"/>
    </sheetView>
  </sheetViews>
  <sheetFormatPr baseColWidth="10" defaultColWidth="9.140625" defaultRowHeight="15" x14ac:dyDescent="0.25"/>
  <cols>
    <col min="1" max="1" width="26" customWidth="1"/>
    <col min="7" max="7" width="11" customWidth="1"/>
    <col min="8" max="8" width="13" customWidth="1"/>
    <col min="9" max="9" width="14" customWidth="1"/>
    <col min="10" max="10" width="10" customWidth="1"/>
  </cols>
  <sheetData>
    <row r="1" spans="1:10" ht="18" x14ac:dyDescent="0.25">
      <c r="A1" s="1" t="s">
        <v>41</v>
      </c>
    </row>
    <row r="2" spans="1:10" ht="75" customHeight="1" x14ac:dyDescent="0.25">
      <c r="A2" s="29" t="s">
        <v>42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43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1" t="s">
        <v>53</v>
      </c>
      <c r="J6" s="12">
        <v>70</v>
      </c>
    </row>
    <row r="7" spans="1:10" x14ac:dyDescent="0.25">
      <c r="A7" s="4" t="s">
        <v>54</v>
      </c>
      <c r="B7" s="13">
        <v>60</v>
      </c>
      <c r="C7" s="13">
        <v>100</v>
      </c>
      <c r="D7" s="13">
        <v>49</v>
      </c>
      <c r="E7" s="13">
        <v>65</v>
      </c>
      <c r="F7" s="13">
        <v>81</v>
      </c>
      <c r="G7" s="14">
        <f>AVERAGE(B7:F7)</f>
        <v>71</v>
      </c>
      <c r="H7" s="15" t="str">
        <f>IF(G7&gt;=$J$6, "APRUEBA", "NO APROBAR")</f>
        <v>APRUEBA</v>
      </c>
    </row>
    <row r="8" spans="1:10" x14ac:dyDescent="0.25">
      <c r="A8" s="16" t="s">
        <v>55</v>
      </c>
      <c r="B8" s="17">
        <v>43</v>
      </c>
      <c r="C8" s="17">
        <v>44</v>
      </c>
      <c r="D8" s="17">
        <v>92</v>
      </c>
      <c r="E8" s="17">
        <v>74</v>
      </c>
      <c r="F8" s="17">
        <v>46</v>
      </c>
      <c r="G8" s="14">
        <f>AVERAGE(B8:F8)</f>
        <v>59.8</v>
      </c>
      <c r="H8" s="15"/>
    </row>
    <row r="9" spans="1:10" x14ac:dyDescent="0.25">
      <c r="A9" s="4" t="s">
        <v>56</v>
      </c>
      <c r="B9" s="13">
        <v>63</v>
      </c>
      <c r="C9" s="13">
        <v>77</v>
      </c>
      <c r="D9" s="13">
        <v>43</v>
      </c>
      <c r="E9" s="13">
        <v>98</v>
      </c>
      <c r="F9" s="13">
        <v>72</v>
      </c>
      <c r="G9" s="14">
        <f t="shared" ref="G8:G16" si="0">AVERAGE(B9:F9)</f>
        <v>70.599999999999994</v>
      </c>
      <c r="H9" s="15"/>
    </row>
    <row r="10" spans="1:10" x14ac:dyDescent="0.25">
      <c r="A10" s="16" t="s">
        <v>57</v>
      </c>
      <c r="B10" s="17">
        <v>53</v>
      </c>
      <c r="C10" s="17">
        <v>42</v>
      </c>
      <c r="D10" s="17">
        <v>45</v>
      </c>
      <c r="E10" s="17">
        <v>67</v>
      </c>
      <c r="F10" s="17">
        <v>66</v>
      </c>
      <c r="G10" s="14">
        <f t="shared" si="0"/>
        <v>54.6</v>
      </c>
      <c r="H10" s="15"/>
    </row>
    <row r="11" spans="1:10" x14ac:dyDescent="0.25">
      <c r="A11" s="4" t="s">
        <v>58</v>
      </c>
      <c r="B11" s="13">
        <v>44</v>
      </c>
      <c r="C11" s="13">
        <v>55</v>
      </c>
      <c r="D11" s="13">
        <v>45</v>
      </c>
      <c r="E11" s="13">
        <v>75</v>
      </c>
      <c r="F11" s="13">
        <v>67</v>
      </c>
      <c r="G11" s="14">
        <f t="shared" si="0"/>
        <v>57.2</v>
      </c>
      <c r="H11" s="15"/>
    </row>
    <row r="12" spans="1:10" x14ac:dyDescent="0.25">
      <c r="A12" s="16" t="s">
        <v>59</v>
      </c>
      <c r="B12" s="17">
        <v>43</v>
      </c>
      <c r="C12" s="17">
        <v>92</v>
      </c>
      <c r="D12" s="17">
        <v>76</v>
      </c>
      <c r="E12" s="17">
        <v>47</v>
      </c>
      <c r="F12" s="17">
        <v>100</v>
      </c>
      <c r="G12" s="14">
        <f t="shared" si="0"/>
        <v>71.599999999999994</v>
      </c>
      <c r="H12" s="15"/>
    </row>
    <row r="13" spans="1:10" x14ac:dyDescent="0.25">
      <c r="A13" s="4" t="s">
        <v>60</v>
      </c>
      <c r="B13" s="13">
        <v>54</v>
      </c>
      <c r="C13" s="13">
        <v>80</v>
      </c>
      <c r="D13" s="13">
        <v>80</v>
      </c>
      <c r="E13" s="13">
        <v>77</v>
      </c>
      <c r="F13" s="13">
        <v>100</v>
      </c>
      <c r="G13" s="14">
        <f t="shared" si="0"/>
        <v>78.2</v>
      </c>
      <c r="H13" s="15"/>
    </row>
    <row r="14" spans="1:10" x14ac:dyDescent="0.25">
      <c r="A14" s="16" t="s">
        <v>61</v>
      </c>
      <c r="B14" s="17">
        <v>43</v>
      </c>
      <c r="C14" s="17">
        <v>76</v>
      </c>
      <c r="D14" s="17">
        <v>77</v>
      </c>
      <c r="E14" s="17">
        <v>65</v>
      </c>
      <c r="F14" s="17">
        <v>43</v>
      </c>
      <c r="G14" s="14">
        <f t="shared" si="0"/>
        <v>60.8</v>
      </c>
      <c r="H14" s="15"/>
    </row>
    <row r="15" spans="1:10" x14ac:dyDescent="0.25">
      <c r="A15" s="4" t="s">
        <v>62</v>
      </c>
      <c r="B15" s="13">
        <v>54</v>
      </c>
      <c r="C15" s="13">
        <v>42</v>
      </c>
      <c r="D15" s="13">
        <v>75</v>
      </c>
      <c r="E15" s="13">
        <v>94</v>
      </c>
      <c r="F15" s="13">
        <v>48</v>
      </c>
      <c r="G15" s="14">
        <f t="shared" si="0"/>
        <v>62.6</v>
      </c>
      <c r="H15" s="15"/>
    </row>
    <row r="16" spans="1:10" x14ac:dyDescent="0.25">
      <c r="A16" s="16" t="s">
        <v>63</v>
      </c>
      <c r="B16" s="17">
        <v>58</v>
      </c>
      <c r="C16" s="17">
        <v>66</v>
      </c>
      <c r="D16" s="17">
        <v>49</v>
      </c>
      <c r="E16" s="17">
        <v>74</v>
      </c>
      <c r="F16" s="17">
        <v>47</v>
      </c>
      <c r="G16" s="14">
        <f t="shared" si="0"/>
        <v>58.8</v>
      </c>
      <c r="H16" s="15"/>
    </row>
    <row r="18" spans="1:2" x14ac:dyDescent="0.25">
      <c r="A18" s="5" t="s">
        <v>64</v>
      </c>
      <c r="B18" s="15"/>
    </row>
    <row r="19" spans="1:2" x14ac:dyDescent="0.25">
      <c r="A19" s="5" t="s">
        <v>65</v>
      </c>
      <c r="B19" s="15"/>
    </row>
    <row r="20" spans="1:2" x14ac:dyDescent="0.25">
      <c r="A20" s="5" t="s">
        <v>66</v>
      </c>
      <c r="B20" s="14"/>
    </row>
    <row r="21" spans="1:2" x14ac:dyDescent="0.25">
      <c r="A21" s="5" t="s">
        <v>67</v>
      </c>
      <c r="B21" s="14"/>
    </row>
    <row r="22" spans="1:2" x14ac:dyDescent="0.25">
      <c r="A22" s="5" t="s">
        <v>68</v>
      </c>
      <c r="B22" s="14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activeCell="H7" sqref="H7"/>
    </sheetView>
  </sheetViews>
  <sheetFormatPr baseColWidth="10" defaultColWidth="9.140625" defaultRowHeight="15" x14ac:dyDescent="0.25"/>
  <cols>
    <col min="1" max="1" width="26" customWidth="1"/>
    <col min="2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0" customWidth="1"/>
  </cols>
  <sheetData>
    <row r="1" spans="1:10" ht="18" x14ac:dyDescent="0.25">
      <c r="A1" s="1" t="s">
        <v>69</v>
      </c>
    </row>
    <row r="2" spans="1:10" ht="60" customHeight="1" x14ac:dyDescent="0.25">
      <c r="A2" s="29" t="s">
        <v>70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71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78</v>
      </c>
      <c r="H6" s="10" t="s">
        <v>79</v>
      </c>
      <c r="I6" s="11" t="s">
        <v>80</v>
      </c>
      <c r="J6" s="18">
        <v>0.05</v>
      </c>
    </row>
    <row r="7" spans="1:10" x14ac:dyDescent="0.25">
      <c r="A7" s="4" t="s">
        <v>81</v>
      </c>
      <c r="B7" s="13" t="s">
        <v>82</v>
      </c>
      <c r="C7" s="19">
        <v>3138000</v>
      </c>
      <c r="D7" s="19">
        <v>2063000</v>
      </c>
      <c r="E7" s="19">
        <v>3094000</v>
      </c>
      <c r="F7" s="20">
        <f>SUM(C7:E7)</f>
        <v>8295000</v>
      </c>
      <c r="G7" s="20">
        <f>AVERAGE(C7:E14)</f>
        <v>2422000</v>
      </c>
      <c r="H7" s="20">
        <f>F7:F14 *J6</f>
        <v>414750</v>
      </c>
    </row>
    <row r="8" spans="1:10" x14ac:dyDescent="0.25">
      <c r="A8" s="16" t="s">
        <v>83</v>
      </c>
      <c r="B8" s="17" t="s">
        <v>84</v>
      </c>
      <c r="C8" s="21">
        <v>1540000</v>
      </c>
      <c r="D8" s="21">
        <v>1222000</v>
      </c>
      <c r="E8" s="21">
        <v>3182000</v>
      </c>
      <c r="F8" s="20">
        <f>SUM(C8:E8)</f>
        <v>5944000</v>
      </c>
      <c r="G8" s="20">
        <f>AVERAGE(C8:E15)</f>
        <v>2373000</v>
      </c>
      <c r="H8" s="20">
        <f>F8:F15 *J6</f>
        <v>297200</v>
      </c>
    </row>
    <row r="9" spans="1:10" x14ac:dyDescent="0.25">
      <c r="A9" s="4" t="s">
        <v>85</v>
      </c>
      <c r="B9" s="13" t="s">
        <v>86</v>
      </c>
      <c r="C9" s="19">
        <v>3139000</v>
      </c>
      <c r="D9" s="19">
        <v>3416000</v>
      </c>
      <c r="E9" s="19">
        <v>1569000</v>
      </c>
      <c r="F9" s="20">
        <f>SUM(C9:E9)</f>
        <v>8124000</v>
      </c>
      <c r="G9" s="20">
        <f t="shared" ref="G8:G14" si="0">AVERAGE(C9:E16)</f>
        <v>2438277.777777778</v>
      </c>
      <c r="H9" s="20">
        <f>F9:F16 *J6</f>
        <v>406200</v>
      </c>
    </row>
    <row r="10" spans="1:10" x14ac:dyDescent="0.25">
      <c r="A10" s="16" t="s">
        <v>87</v>
      </c>
      <c r="B10" s="17" t="s">
        <v>82</v>
      </c>
      <c r="C10" s="21">
        <v>2325000</v>
      </c>
      <c r="D10" s="21">
        <v>1199000</v>
      </c>
      <c r="E10" s="21">
        <v>3043000</v>
      </c>
      <c r="F10" s="20">
        <f>SUM(C10:E10)</f>
        <v>6567000</v>
      </c>
      <c r="G10" s="20">
        <f t="shared" si="0"/>
        <v>2384333.3333333335</v>
      </c>
      <c r="H10" s="20">
        <f>F10:F17 *J6</f>
        <v>328350</v>
      </c>
    </row>
    <row r="11" spans="1:10" x14ac:dyDescent="0.25">
      <c r="A11" s="4" t="s">
        <v>88</v>
      </c>
      <c r="B11" s="13" t="s">
        <v>84</v>
      </c>
      <c r="C11" s="19">
        <v>1057000</v>
      </c>
      <c r="D11" s="19">
        <v>3111000</v>
      </c>
      <c r="E11" s="19">
        <v>1044000</v>
      </c>
      <c r="F11" s="20">
        <f>SUM(C11:E11)</f>
        <v>5212000</v>
      </c>
      <c r="G11" s="20">
        <f t="shared" si="0"/>
        <v>2433166.6666666665</v>
      </c>
      <c r="H11" s="20">
        <f>F11:F18 *J6</f>
        <v>260600</v>
      </c>
    </row>
    <row r="12" spans="1:10" x14ac:dyDescent="0.25">
      <c r="A12" s="16" t="s">
        <v>89</v>
      </c>
      <c r="B12" s="17" t="s">
        <v>86</v>
      </c>
      <c r="C12" s="21">
        <v>3335000</v>
      </c>
      <c r="D12" s="21">
        <v>1643000</v>
      </c>
      <c r="E12" s="21">
        <v>2833000</v>
      </c>
      <c r="F12" s="20">
        <f>SUM(C12:E12)</f>
        <v>7811000</v>
      </c>
      <c r="G12" s="20">
        <f t="shared" si="0"/>
        <v>2665111.111111111</v>
      </c>
      <c r="H12" s="20">
        <f>F12:F19 *J6</f>
        <v>390550</v>
      </c>
    </row>
    <row r="13" spans="1:10" x14ac:dyDescent="0.25">
      <c r="A13" s="4" t="s">
        <v>90</v>
      </c>
      <c r="B13" s="13" t="s">
        <v>82</v>
      </c>
      <c r="C13" s="19">
        <v>2977000</v>
      </c>
      <c r="D13" s="19">
        <v>2551000</v>
      </c>
      <c r="E13" s="19">
        <v>2086000</v>
      </c>
      <c r="F13" s="20">
        <f>SUM(C13:E13)</f>
        <v>7614000</v>
      </c>
      <c r="G13" s="20">
        <f t="shared" si="0"/>
        <v>2695833.3333333335</v>
      </c>
      <c r="H13" s="20">
        <f>F13:F20 *J6</f>
        <v>380700</v>
      </c>
    </row>
    <row r="14" spans="1:10" x14ac:dyDescent="0.25">
      <c r="A14" s="16" t="s">
        <v>91</v>
      </c>
      <c r="B14" s="17" t="s">
        <v>84</v>
      </c>
      <c r="C14" s="21">
        <v>2707000</v>
      </c>
      <c r="D14" s="21">
        <v>3198000</v>
      </c>
      <c r="E14" s="21">
        <v>2656000</v>
      </c>
      <c r="F14" s="20">
        <f>SUM(C14:E14)</f>
        <v>8561000</v>
      </c>
      <c r="G14" s="20">
        <f t="shared" si="0"/>
        <v>2853666.6666666665</v>
      </c>
      <c r="H14" s="20">
        <f>F14:F21 *J6</f>
        <v>428050</v>
      </c>
    </row>
    <row r="16" spans="1:10" x14ac:dyDescent="0.25">
      <c r="A16" s="5" t="s">
        <v>92</v>
      </c>
      <c r="B16" s="20">
        <f>SUM(F7,F10,F13)</f>
        <v>22476000</v>
      </c>
    </row>
    <row r="17" spans="1:2" x14ac:dyDescent="0.25">
      <c r="A17" s="5" t="s">
        <v>93</v>
      </c>
      <c r="B17" s="20">
        <f>SUM(B16,F8,F11,F14)</f>
        <v>42193000</v>
      </c>
    </row>
    <row r="18" spans="1:2" x14ac:dyDescent="0.25">
      <c r="A18" s="5" t="s">
        <v>94</v>
      </c>
      <c r="B18" s="20">
        <f>SUM(B17,F9,F12)</f>
        <v>58128000</v>
      </c>
    </row>
    <row r="19" spans="1:2" x14ac:dyDescent="0.25">
      <c r="A19" s="5" t="s">
        <v>95</v>
      </c>
      <c r="B19" s="20">
        <f>SUM(B18,B17,B16)</f>
        <v>122797000</v>
      </c>
    </row>
    <row r="20" spans="1:2" x14ac:dyDescent="0.25">
      <c r="A20" s="5" t="s">
        <v>96</v>
      </c>
      <c r="B20" s="20">
        <f>MAX(C7:E14)</f>
        <v>3416000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tabSelected="1" topLeftCell="A8" workbookViewId="0">
      <selection activeCell="F23" sqref="F23"/>
    </sheetView>
  </sheetViews>
  <sheetFormatPr baseColWidth="10" defaultColWidth="9.140625" defaultRowHeight="15" x14ac:dyDescent="0.25"/>
  <cols>
    <col min="1" max="1" width="28" customWidth="1"/>
    <col min="2" max="2" width="11" customWidth="1"/>
    <col min="3" max="3" width="13" customWidth="1"/>
    <col min="4" max="4" width="15" customWidth="1"/>
    <col min="5" max="5" width="13" customWidth="1"/>
    <col min="6" max="6" width="11" customWidth="1"/>
  </cols>
  <sheetData>
    <row r="1" spans="1:6" ht="18" x14ac:dyDescent="0.25">
      <c r="A1" s="1" t="s">
        <v>97</v>
      </c>
    </row>
    <row r="2" spans="1:6" ht="75" customHeight="1" x14ac:dyDescent="0.25">
      <c r="A2" s="29" t="s">
        <v>98</v>
      </c>
      <c r="B2" s="30"/>
      <c r="C2" s="30"/>
      <c r="D2" s="30"/>
      <c r="E2" s="30"/>
      <c r="F2" s="30"/>
    </row>
    <row r="3" spans="1:6" x14ac:dyDescent="0.25">
      <c r="A3" s="31" t="s">
        <v>99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25">
      <c r="A7" s="4" t="s">
        <v>106</v>
      </c>
      <c r="B7" s="13">
        <v>23</v>
      </c>
      <c r="C7" s="13">
        <v>20</v>
      </c>
      <c r="D7" s="19">
        <v>500</v>
      </c>
      <c r="E7" s="20">
        <f>B7:B16*D7:D16</f>
        <v>11500</v>
      </c>
      <c r="F7" s="15" t="str">
        <f t="shared" ref="F7:F16" si="0">IF(B7&gt;5, "OK", "REPONER")</f>
        <v>OK</v>
      </c>
    </row>
    <row r="8" spans="1:6" x14ac:dyDescent="0.25">
      <c r="A8" s="16" t="s">
        <v>107</v>
      </c>
      <c r="B8" s="17">
        <v>50</v>
      </c>
      <c r="C8" s="17">
        <v>15</v>
      </c>
      <c r="D8" s="21">
        <v>500</v>
      </c>
      <c r="E8" s="20">
        <f t="shared" ref="E8:E16" si="1">B8:B17*D8:D17</f>
        <v>25000</v>
      </c>
      <c r="F8" s="15" t="str">
        <f t="shared" si="0"/>
        <v>OK</v>
      </c>
    </row>
    <row r="9" spans="1:6" x14ac:dyDescent="0.25">
      <c r="A9" s="4" t="s">
        <v>108</v>
      </c>
      <c r="B9" s="13">
        <v>5</v>
      </c>
      <c r="C9" s="13">
        <v>20</v>
      </c>
      <c r="D9" s="19">
        <v>6000</v>
      </c>
      <c r="E9" s="20">
        <f t="shared" si="1"/>
        <v>30000</v>
      </c>
      <c r="F9" s="15" t="str">
        <f t="shared" si="0"/>
        <v>REPONER</v>
      </c>
    </row>
    <row r="10" spans="1:6" x14ac:dyDescent="0.25">
      <c r="A10" s="16" t="s">
        <v>109</v>
      </c>
      <c r="B10" s="17">
        <v>56</v>
      </c>
      <c r="C10" s="17">
        <v>20</v>
      </c>
      <c r="D10" s="21">
        <v>6000</v>
      </c>
      <c r="E10" s="20">
        <f t="shared" si="1"/>
        <v>336000</v>
      </c>
      <c r="F10" s="15" t="str">
        <f t="shared" si="0"/>
        <v>OK</v>
      </c>
    </row>
    <row r="11" spans="1:6" x14ac:dyDescent="0.25">
      <c r="A11" s="4" t="s">
        <v>110</v>
      </c>
      <c r="B11" s="13">
        <v>18</v>
      </c>
      <c r="C11" s="13">
        <v>10</v>
      </c>
      <c r="D11" s="19">
        <v>800</v>
      </c>
      <c r="E11" s="20">
        <f t="shared" si="1"/>
        <v>14400</v>
      </c>
      <c r="F11" s="15" t="str">
        <f t="shared" si="0"/>
        <v>OK</v>
      </c>
    </row>
    <row r="12" spans="1:6" x14ac:dyDescent="0.25">
      <c r="A12" s="16" t="s">
        <v>111</v>
      </c>
      <c r="B12" s="17">
        <v>32</v>
      </c>
      <c r="C12" s="17">
        <v>25</v>
      </c>
      <c r="D12" s="21">
        <v>1200</v>
      </c>
      <c r="E12" s="20">
        <f t="shared" si="1"/>
        <v>38400</v>
      </c>
      <c r="F12" s="15" t="str">
        <f t="shared" si="0"/>
        <v>OK</v>
      </c>
    </row>
    <row r="13" spans="1:6" x14ac:dyDescent="0.25">
      <c r="A13" s="4" t="s">
        <v>112</v>
      </c>
      <c r="B13" s="13">
        <v>48</v>
      </c>
      <c r="C13" s="13">
        <v>20</v>
      </c>
      <c r="D13" s="19">
        <v>1200</v>
      </c>
      <c r="E13" s="20">
        <f t="shared" si="1"/>
        <v>57600</v>
      </c>
      <c r="F13" s="15" t="str">
        <f t="shared" si="0"/>
        <v>OK</v>
      </c>
    </row>
    <row r="14" spans="1:6" x14ac:dyDescent="0.25">
      <c r="A14" s="16" t="s">
        <v>113</v>
      </c>
      <c r="B14" s="17">
        <v>59</v>
      </c>
      <c r="C14" s="17">
        <v>25</v>
      </c>
      <c r="D14" s="21">
        <v>4000</v>
      </c>
      <c r="E14" s="20">
        <f t="shared" si="1"/>
        <v>236000</v>
      </c>
      <c r="F14" s="15" t="str">
        <f t="shared" si="0"/>
        <v>OK</v>
      </c>
    </row>
    <row r="15" spans="1:6" x14ac:dyDescent="0.25">
      <c r="A15" s="4" t="s">
        <v>114</v>
      </c>
      <c r="B15" s="13">
        <v>2</v>
      </c>
      <c r="C15" s="13">
        <v>10</v>
      </c>
      <c r="D15" s="19">
        <v>3500</v>
      </c>
      <c r="E15" s="20">
        <f t="shared" si="1"/>
        <v>7000</v>
      </c>
      <c r="F15" s="15" t="str">
        <f t="shared" si="0"/>
        <v>REPONER</v>
      </c>
    </row>
    <row r="16" spans="1:6" x14ac:dyDescent="0.25">
      <c r="A16" s="16" t="s">
        <v>115</v>
      </c>
      <c r="B16" s="17">
        <v>21</v>
      </c>
      <c r="C16" s="17">
        <v>20</v>
      </c>
      <c r="D16" s="21">
        <v>6000</v>
      </c>
      <c r="E16" s="20">
        <f t="shared" si="1"/>
        <v>126000</v>
      </c>
      <c r="F16" s="15" t="str">
        <f t="shared" si="0"/>
        <v>OK</v>
      </c>
    </row>
    <row r="18" spans="1:2" x14ac:dyDescent="0.25">
      <c r="A18" s="5" t="s">
        <v>116</v>
      </c>
      <c r="B18" s="20">
        <f>SUM(E7:E16)</f>
        <v>881900</v>
      </c>
    </row>
    <row r="19" spans="1:2" x14ac:dyDescent="0.25">
      <c r="A19" s="5" t="s">
        <v>117</v>
      </c>
      <c r="B19" s="20"/>
    </row>
    <row r="20" spans="1:2" x14ac:dyDescent="0.25">
      <c r="A20" s="5" t="s">
        <v>118</v>
      </c>
      <c r="B20" s="20"/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workbookViewId="0"/>
  </sheetViews>
  <sheetFormatPr baseColWidth="10" defaultColWidth="9.140625" defaultRowHeight="15" x14ac:dyDescent="0.25"/>
  <cols>
    <col min="1" max="1" width="26" customWidth="1"/>
    <col min="2" max="2" width="16" customWidth="1"/>
    <col min="3" max="4" width="14" customWidth="1"/>
    <col min="5" max="5" width="12" customWidth="1"/>
    <col min="6" max="6" width="13" customWidth="1"/>
    <col min="9" max="9" width="14" customWidth="1"/>
    <col min="10" max="10" width="9" customWidth="1"/>
  </cols>
  <sheetData>
    <row r="1" spans="1:10" ht="18" x14ac:dyDescent="0.25">
      <c r="A1" s="1" t="s">
        <v>119</v>
      </c>
    </row>
    <row r="2" spans="1:10" ht="75" customHeight="1" x14ac:dyDescent="0.25">
      <c r="A2" s="29" t="s">
        <v>120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121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I6" s="11" t="s">
        <v>128</v>
      </c>
      <c r="J6" s="18">
        <v>0.5</v>
      </c>
    </row>
    <row r="7" spans="1:10" x14ac:dyDescent="0.25">
      <c r="A7" s="4" t="s">
        <v>129</v>
      </c>
      <c r="B7" s="13">
        <v>36</v>
      </c>
      <c r="C7" s="19">
        <v>12000</v>
      </c>
      <c r="D7" s="15"/>
      <c r="E7" s="15"/>
      <c r="F7" s="20"/>
    </row>
    <row r="8" spans="1:10" x14ac:dyDescent="0.25">
      <c r="A8" s="16" t="s">
        <v>130</v>
      </c>
      <c r="B8" s="17">
        <v>38</v>
      </c>
      <c r="C8" s="21">
        <v>18000</v>
      </c>
      <c r="D8" s="15"/>
      <c r="E8" s="15"/>
      <c r="F8" s="20"/>
    </row>
    <row r="9" spans="1:10" x14ac:dyDescent="0.25">
      <c r="A9" s="4" t="s">
        <v>131</v>
      </c>
      <c r="B9" s="13">
        <v>36</v>
      </c>
      <c r="C9" s="19">
        <v>12000</v>
      </c>
      <c r="D9" s="15"/>
      <c r="E9" s="15"/>
      <c r="F9" s="20"/>
    </row>
    <row r="10" spans="1:10" x14ac:dyDescent="0.25">
      <c r="A10" s="16" t="s">
        <v>132</v>
      </c>
      <c r="B10" s="17">
        <v>32</v>
      </c>
      <c r="C10" s="21">
        <v>18000</v>
      </c>
      <c r="D10" s="15"/>
      <c r="E10" s="15"/>
      <c r="F10" s="20"/>
    </row>
    <row r="11" spans="1:10" x14ac:dyDescent="0.25">
      <c r="A11" s="4" t="s">
        <v>133</v>
      </c>
      <c r="B11" s="13">
        <v>36</v>
      </c>
      <c r="C11" s="19">
        <v>18000</v>
      </c>
      <c r="D11" s="15"/>
      <c r="E11" s="15"/>
      <c r="F11" s="20"/>
    </row>
    <row r="12" spans="1:10" x14ac:dyDescent="0.25">
      <c r="A12" s="16" t="s">
        <v>134</v>
      </c>
      <c r="B12" s="17">
        <v>50</v>
      </c>
      <c r="C12" s="21">
        <v>18000</v>
      </c>
      <c r="D12" s="15"/>
      <c r="E12" s="15"/>
      <c r="F12" s="20"/>
    </row>
    <row r="13" spans="1:10" x14ac:dyDescent="0.25">
      <c r="A13" s="4" t="s">
        <v>135</v>
      </c>
      <c r="B13" s="13">
        <v>32</v>
      </c>
      <c r="C13" s="19">
        <v>20000</v>
      </c>
      <c r="D13" s="15"/>
      <c r="E13" s="15"/>
      <c r="F13" s="20"/>
    </row>
    <row r="14" spans="1:10" x14ac:dyDescent="0.25">
      <c r="A14" s="16" t="s">
        <v>136</v>
      </c>
      <c r="B14" s="17">
        <v>48</v>
      </c>
      <c r="C14" s="21">
        <v>15000</v>
      </c>
      <c r="D14" s="15"/>
      <c r="E14" s="15"/>
      <c r="F14" s="20"/>
    </row>
    <row r="16" spans="1:10" x14ac:dyDescent="0.25">
      <c r="A16" s="5" t="s">
        <v>137</v>
      </c>
      <c r="B16" s="20"/>
    </row>
    <row r="17" spans="1:2" x14ac:dyDescent="0.25">
      <c r="A17" s="5" t="s">
        <v>138</v>
      </c>
      <c r="B17" s="15"/>
    </row>
    <row r="18" spans="1:2" x14ac:dyDescent="0.25">
      <c r="A18" s="5" t="s">
        <v>139</v>
      </c>
      <c r="B18" s="15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workbookViewId="0"/>
  </sheetViews>
  <sheetFormatPr baseColWidth="10" defaultColWidth="9.140625" defaultRowHeight="15" x14ac:dyDescent="0.25"/>
  <cols>
    <col min="1" max="1" width="26" customWidth="1"/>
    <col min="2" max="2" width="13" customWidth="1"/>
    <col min="3" max="3" width="15" customWidth="1"/>
    <col min="4" max="4" width="13" customWidth="1"/>
    <col min="9" max="9" width="8" customWidth="1"/>
    <col min="10" max="10" width="9" customWidth="1"/>
  </cols>
  <sheetData>
    <row r="1" spans="1:10" ht="18" x14ac:dyDescent="0.25">
      <c r="A1" s="1" t="s">
        <v>140</v>
      </c>
    </row>
    <row r="2" spans="1:10" ht="45" customHeight="1" x14ac:dyDescent="0.25">
      <c r="A2" s="29" t="s">
        <v>141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142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100</v>
      </c>
      <c r="B6" s="10" t="s">
        <v>101</v>
      </c>
      <c r="C6" s="10" t="s">
        <v>103</v>
      </c>
      <c r="D6" s="10" t="s">
        <v>143</v>
      </c>
      <c r="I6" s="11" t="s">
        <v>144</v>
      </c>
      <c r="J6" s="18">
        <v>0.19</v>
      </c>
    </row>
    <row r="7" spans="1:10" x14ac:dyDescent="0.25">
      <c r="A7" s="4" t="s">
        <v>145</v>
      </c>
      <c r="B7" s="13">
        <v>2</v>
      </c>
      <c r="C7" s="19">
        <v>45000</v>
      </c>
      <c r="D7" s="20"/>
    </row>
    <row r="8" spans="1:10" x14ac:dyDescent="0.25">
      <c r="A8" s="16" t="s">
        <v>146</v>
      </c>
      <c r="B8" s="17">
        <v>3</v>
      </c>
      <c r="C8" s="21">
        <v>25000</v>
      </c>
      <c r="D8" s="20"/>
    </row>
    <row r="9" spans="1:10" x14ac:dyDescent="0.25">
      <c r="A9" s="4" t="s">
        <v>147</v>
      </c>
      <c r="B9" s="13">
        <v>1</v>
      </c>
      <c r="C9" s="19">
        <v>520000</v>
      </c>
      <c r="D9" s="20"/>
    </row>
    <row r="10" spans="1:10" x14ac:dyDescent="0.25">
      <c r="A10" s="16" t="s">
        <v>148</v>
      </c>
      <c r="B10" s="17">
        <v>4</v>
      </c>
      <c r="C10" s="21">
        <v>18000</v>
      </c>
      <c r="D10" s="20"/>
    </row>
    <row r="11" spans="1:10" x14ac:dyDescent="0.25">
      <c r="A11" s="4" t="s">
        <v>149</v>
      </c>
      <c r="B11" s="13">
        <v>2</v>
      </c>
      <c r="C11" s="19">
        <v>60000</v>
      </c>
      <c r="D11" s="20"/>
    </row>
    <row r="12" spans="1:10" x14ac:dyDescent="0.25">
      <c r="A12" s="16" t="s">
        <v>150</v>
      </c>
      <c r="B12" s="17">
        <v>1</v>
      </c>
      <c r="C12" s="21">
        <v>35000</v>
      </c>
      <c r="D12" s="20"/>
    </row>
    <row r="14" spans="1:10" x14ac:dyDescent="0.25">
      <c r="A14" s="5" t="s">
        <v>151</v>
      </c>
      <c r="B14" s="20"/>
    </row>
    <row r="15" spans="1:10" x14ac:dyDescent="0.25">
      <c r="A15" s="5" t="s">
        <v>144</v>
      </c>
      <c r="B15" s="20"/>
    </row>
    <row r="16" spans="1:10" x14ac:dyDescent="0.25">
      <c r="A16" s="5" t="s">
        <v>152</v>
      </c>
      <c r="B16" s="20"/>
    </row>
    <row r="17" spans="1:2" x14ac:dyDescent="0.25">
      <c r="A17" s="5" t="s">
        <v>153</v>
      </c>
      <c r="B17" s="15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16" customWidth="1"/>
    <col min="3" max="4" width="13" customWidth="1"/>
    <col min="5" max="5" width="14" customWidth="1"/>
    <col min="7" max="7" width="8" customWidth="1"/>
    <col min="8" max="8" width="13" customWidth="1"/>
    <col min="9" max="9" width="11" customWidth="1"/>
  </cols>
  <sheetData>
    <row r="1" spans="1:9" ht="18" x14ac:dyDescent="0.25">
      <c r="A1" s="1" t="s">
        <v>154</v>
      </c>
    </row>
    <row r="2" spans="1:9" ht="75" customHeight="1" x14ac:dyDescent="0.25">
      <c r="A2" s="29" t="s">
        <v>155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1" t="s">
        <v>156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9" x14ac:dyDescent="0.25">
      <c r="G6" s="22" t="s">
        <v>157</v>
      </c>
      <c r="H6" s="22" t="s">
        <v>158</v>
      </c>
      <c r="I6" s="22" t="s">
        <v>159</v>
      </c>
    </row>
    <row r="7" spans="1:9" x14ac:dyDescent="0.25">
      <c r="G7" s="7" t="s">
        <v>160</v>
      </c>
      <c r="H7" s="23">
        <v>1000000</v>
      </c>
      <c r="I7" s="24">
        <v>0.2</v>
      </c>
    </row>
    <row r="8" spans="1:9" x14ac:dyDescent="0.25">
      <c r="G8" s="7" t="s">
        <v>161</v>
      </c>
      <c r="H8" s="23">
        <v>500000</v>
      </c>
      <c r="I8" s="24">
        <v>0.1</v>
      </c>
    </row>
    <row r="10" spans="1:9" x14ac:dyDescent="0.25">
      <c r="A10" s="10" t="s">
        <v>162</v>
      </c>
      <c r="B10" s="10" t="s">
        <v>163</v>
      </c>
      <c r="C10" s="10" t="s">
        <v>164</v>
      </c>
      <c r="D10" s="10" t="s">
        <v>159</v>
      </c>
      <c r="E10" s="10" t="s">
        <v>165</v>
      </c>
    </row>
    <row r="11" spans="1:9" x14ac:dyDescent="0.25">
      <c r="A11" s="4" t="s">
        <v>54</v>
      </c>
      <c r="B11" s="19">
        <v>1250000</v>
      </c>
      <c r="C11" s="25"/>
      <c r="D11" s="20"/>
      <c r="E11" s="20"/>
    </row>
    <row r="12" spans="1:9" x14ac:dyDescent="0.25">
      <c r="A12" s="16" t="s">
        <v>55</v>
      </c>
      <c r="B12" s="21">
        <v>480000</v>
      </c>
      <c r="C12" s="25"/>
      <c r="D12" s="20"/>
      <c r="E12" s="20"/>
    </row>
    <row r="13" spans="1:9" x14ac:dyDescent="0.25">
      <c r="A13" s="4" t="s">
        <v>56</v>
      </c>
      <c r="B13" s="19">
        <v>750000</v>
      </c>
      <c r="C13" s="25"/>
      <c r="D13" s="20"/>
      <c r="E13" s="20"/>
    </row>
    <row r="14" spans="1:9" x14ac:dyDescent="0.25">
      <c r="A14" s="16" t="s">
        <v>57</v>
      </c>
      <c r="B14" s="21">
        <v>2000000</v>
      </c>
      <c r="C14" s="25"/>
      <c r="D14" s="20"/>
      <c r="E14" s="20"/>
    </row>
    <row r="15" spans="1:9" x14ac:dyDescent="0.25">
      <c r="A15" s="4" t="s">
        <v>58</v>
      </c>
      <c r="B15" s="19">
        <v>150000</v>
      </c>
      <c r="C15" s="25"/>
      <c r="D15" s="20"/>
      <c r="E15" s="20"/>
    </row>
    <row r="16" spans="1:9" x14ac:dyDescent="0.25">
      <c r="A16" s="16" t="s">
        <v>59</v>
      </c>
      <c r="B16" s="21">
        <v>999999</v>
      </c>
      <c r="C16" s="25"/>
      <c r="D16" s="20"/>
      <c r="E16" s="20"/>
    </row>
    <row r="17" spans="1:5" x14ac:dyDescent="0.25">
      <c r="A17" s="4" t="s">
        <v>60</v>
      </c>
      <c r="B17" s="19">
        <v>500000</v>
      </c>
      <c r="C17" s="25"/>
      <c r="D17" s="20"/>
      <c r="E17" s="20"/>
    </row>
    <row r="18" spans="1:5" x14ac:dyDescent="0.25">
      <c r="A18" s="16" t="s">
        <v>61</v>
      </c>
      <c r="B18" s="21">
        <v>1000000</v>
      </c>
      <c r="C18" s="25"/>
      <c r="D18" s="20"/>
      <c r="E18" s="20"/>
    </row>
    <row r="19" spans="1:5" x14ac:dyDescent="0.25">
      <c r="A19" s="4" t="s">
        <v>62</v>
      </c>
      <c r="B19" s="19">
        <v>320000</v>
      </c>
      <c r="C19" s="25"/>
      <c r="D19" s="20"/>
      <c r="E19" s="20"/>
    </row>
    <row r="20" spans="1:5" x14ac:dyDescent="0.25">
      <c r="A20" s="16" t="s">
        <v>63</v>
      </c>
      <c r="B20" s="21">
        <v>640000</v>
      </c>
      <c r="C20" s="25"/>
      <c r="D20" s="20"/>
      <c r="E20" s="20"/>
    </row>
    <row r="22" spans="1:5" x14ac:dyDescent="0.25">
      <c r="A22" s="5" t="s">
        <v>166</v>
      </c>
      <c r="B22" s="20"/>
    </row>
    <row r="23" spans="1:5" x14ac:dyDescent="0.25">
      <c r="A23" s="5" t="s">
        <v>167</v>
      </c>
      <c r="B23" s="20"/>
    </row>
    <row r="24" spans="1:5" x14ac:dyDescent="0.25">
      <c r="A24" s="5" t="s">
        <v>168</v>
      </c>
      <c r="B24" s="15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showGridLines="0" workbookViewId="0"/>
  </sheetViews>
  <sheetFormatPr baseColWidth="10" defaultColWidth="9.140625" defaultRowHeight="15" x14ac:dyDescent="0.25"/>
  <cols>
    <col min="1" max="1" width="36" customWidth="1"/>
    <col min="2" max="8" width="6" customWidth="1"/>
    <col min="9" max="9" width="10" customWidth="1"/>
    <col min="10" max="11" width="9" customWidth="1"/>
    <col min="12" max="12" width="15" customWidth="1"/>
    <col min="13" max="13" width="8" customWidth="1"/>
  </cols>
  <sheetData>
    <row r="1" spans="1:13" ht="18" x14ac:dyDescent="0.25">
      <c r="A1" s="1" t="s">
        <v>169</v>
      </c>
    </row>
    <row r="2" spans="1:13" ht="60" customHeight="1" x14ac:dyDescent="0.25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25">
      <c r="A3" s="31" t="s">
        <v>171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1:13" x14ac:dyDescent="0.25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179</v>
      </c>
      <c r="I6" s="10" t="s">
        <v>51</v>
      </c>
      <c r="J6" s="10" t="s">
        <v>180</v>
      </c>
      <c r="K6" s="10" t="s">
        <v>181</v>
      </c>
      <c r="L6" s="10" t="s">
        <v>182</v>
      </c>
      <c r="M6" s="12">
        <v>30</v>
      </c>
    </row>
    <row r="7" spans="1:13" x14ac:dyDescent="0.25">
      <c r="A7" s="4" t="s">
        <v>183</v>
      </c>
      <c r="B7" s="13">
        <v>33</v>
      </c>
      <c r="C7" s="13">
        <v>29</v>
      </c>
      <c r="D7" s="13">
        <v>32</v>
      </c>
      <c r="E7" s="13">
        <v>29</v>
      </c>
      <c r="F7" s="13">
        <v>30</v>
      </c>
      <c r="G7" s="13">
        <v>35</v>
      </c>
      <c r="H7" s="13">
        <v>31</v>
      </c>
      <c r="I7" s="14"/>
      <c r="J7" s="15"/>
      <c r="K7" s="15"/>
      <c r="L7" s="15"/>
    </row>
    <row r="8" spans="1:13" x14ac:dyDescent="0.25">
      <c r="A8" s="16" t="s">
        <v>184</v>
      </c>
      <c r="B8" s="17">
        <v>16</v>
      </c>
      <c r="C8" s="17">
        <v>20</v>
      </c>
      <c r="D8" s="17">
        <v>16</v>
      </c>
      <c r="E8" s="17">
        <v>18</v>
      </c>
      <c r="F8" s="17">
        <v>18</v>
      </c>
      <c r="G8" s="17">
        <v>21</v>
      </c>
      <c r="H8" s="17">
        <v>18</v>
      </c>
      <c r="I8" s="14"/>
      <c r="J8" s="15"/>
      <c r="K8" s="15"/>
      <c r="L8" s="15"/>
    </row>
    <row r="9" spans="1:13" x14ac:dyDescent="0.25">
      <c r="A9" s="4" t="s">
        <v>185</v>
      </c>
      <c r="B9" s="13">
        <v>23</v>
      </c>
      <c r="C9" s="13">
        <v>24</v>
      </c>
      <c r="D9" s="13">
        <v>26</v>
      </c>
      <c r="E9" s="13">
        <v>26</v>
      </c>
      <c r="F9" s="13">
        <v>27</v>
      </c>
      <c r="G9" s="13">
        <v>25</v>
      </c>
      <c r="H9" s="13">
        <v>24</v>
      </c>
      <c r="I9" s="14"/>
      <c r="J9" s="15"/>
      <c r="K9" s="15"/>
      <c r="L9" s="15"/>
    </row>
    <row r="10" spans="1:13" x14ac:dyDescent="0.25">
      <c r="A10" s="16" t="s">
        <v>186</v>
      </c>
      <c r="B10" s="17">
        <v>32</v>
      </c>
      <c r="C10" s="17">
        <v>29</v>
      </c>
      <c r="D10" s="17">
        <v>32</v>
      </c>
      <c r="E10" s="17">
        <v>30</v>
      </c>
      <c r="F10" s="17">
        <v>28</v>
      </c>
      <c r="G10" s="17">
        <v>31</v>
      </c>
      <c r="H10" s="17">
        <v>29</v>
      </c>
      <c r="I10" s="14"/>
      <c r="J10" s="15"/>
      <c r="K10" s="15"/>
      <c r="L10" s="15"/>
    </row>
    <row r="11" spans="1:13" x14ac:dyDescent="0.25">
      <c r="A11" s="4" t="s">
        <v>187</v>
      </c>
      <c r="B11" s="13">
        <v>32</v>
      </c>
      <c r="C11" s="13">
        <v>35</v>
      </c>
      <c r="D11" s="13">
        <v>33</v>
      </c>
      <c r="E11" s="13">
        <v>31</v>
      </c>
      <c r="F11" s="13">
        <v>31</v>
      </c>
      <c r="G11" s="13">
        <v>30</v>
      </c>
      <c r="H11" s="13">
        <v>31</v>
      </c>
      <c r="I11" s="14"/>
      <c r="J11" s="15"/>
      <c r="K11" s="15"/>
      <c r="L11" s="15"/>
    </row>
    <row r="12" spans="1:13" x14ac:dyDescent="0.25">
      <c r="A12" s="16" t="s">
        <v>188</v>
      </c>
      <c r="B12" s="17">
        <v>19</v>
      </c>
      <c r="C12" s="17">
        <v>19</v>
      </c>
      <c r="D12" s="17">
        <v>23</v>
      </c>
      <c r="E12" s="17">
        <v>19</v>
      </c>
      <c r="F12" s="17">
        <v>18</v>
      </c>
      <c r="G12" s="17">
        <v>21</v>
      </c>
      <c r="H12" s="17">
        <v>24</v>
      </c>
      <c r="I12" s="14"/>
      <c r="J12" s="15"/>
      <c r="K12" s="15"/>
      <c r="L12" s="15"/>
    </row>
    <row r="14" spans="1:13" x14ac:dyDescent="0.25">
      <c r="A14" s="5" t="s">
        <v>189</v>
      </c>
      <c r="B14" s="15"/>
    </row>
    <row r="15" spans="1:13" x14ac:dyDescent="0.25">
      <c r="A15" s="5" t="s">
        <v>190</v>
      </c>
      <c r="B15" s="15"/>
    </row>
    <row r="16" spans="1:13" x14ac:dyDescent="0.25">
      <c r="A16" s="5" t="s">
        <v>191</v>
      </c>
      <c r="B16" s="15"/>
    </row>
    <row r="17" spans="1:2" x14ac:dyDescent="0.25">
      <c r="A17" s="5" t="s">
        <v>192</v>
      </c>
      <c r="B17" s="15"/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11" width="5" customWidth="1"/>
    <col min="12" max="12" width="11" customWidth="1"/>
    <col min="13" max="13" width="12" customWidth="1"/>
    <col min="14" max="14" width="11" customWidth="1"/>
    <col min="15" max="15" width="8" customWidth="1"/>
  </cols>
  <sheetData>
    <row r="1" spans="1:15" ht="18" x14ac:dyDescent="0.25">
      <c r="A1" s="1" t="s">
        <v>193</v>
      </c>
    </row>
    <row r="2" spans="1:15" ht="60" customHeight="1" x14ac:dyDescent="0.25">
      <c r="A2" s="29" t="s">
        <v>194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x14ac:dyDescent="0.25">
      <c r="A3" s="31" t="s">
        <v>195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6" spans="1:15" x14ac:dyDescent="0.25">
      <c r="A6" s="10" t="s">
        <v>45</v>
      </c>
      <c r="B6" s="10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  <c r="K6" s="10" t="s">
        <v>205</v>
      </c>
      <c r="L6" s="10" t="s">
        <v>206</v>
      </c>
      <c r="M6" s="10" t="s">
        <v>207</v>
      </c>
      <c r="N6" s="10" t="s">
        <v>105</v>
      </c>
      <c r="O6" s="18">
        <v>0.8</v>
      </c>
    </row>
    <row r="7" spans="1:15" x14ac:dyDescent="0.25">
      <c r="A7" s="4" t="s">
        <v>54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13" t="s">
        <v>208</v>
      </c>
      <c r="H7" s="13" t="s">
        <v>209</v>
      </c>
      <c r="I7" s="13" t="s">
        <v>208</v>
      </c>
      <c r="J7" s="13" t="s">
        <v>208</v>
      </c>
      <c r="K7" s="13" t="s">
        <v>208</v>
      </c>
      <c r="L7" s="15"/>
      <c r="M7" s="25"/>
      <c r="N7" s="15"/>
    </row>
    <row r="8" spans="1:15" x14ac:dyDescent="0.25">
      <c r="A8" s="16" t="s">
        <v>55</v>
      </c>
      <c r="B8" s="17" t="s">
        <v>208</v>
      </c>
      <c r="C8" s="17" t="s">
        <v>208</v>
      </c>
      <c r="D8" s="17" t="s">
        <v>209</v>
      </c>
      <c r="E8" s="17" t="s">
        <v>208</v>
      </c>
      <c r="F8" s="17" t="s">
        <v>209</v>
      </c>
      <c r="G8" s="17" t="s">
        <v>208</v>
      </c>
      <c r="H8" s="17" t="s">
        <v>208</v>
      </c>
      <c r="I8" s="17" t="s">
        <v>208</v>
      </c>
      <c r="J8" s="17" t="s">
        <v>208</v>
      </c>
      <c r="K8" s="17" t="s">
        <v>208</v>
      </c>
      <c r="L8" s="15"/>
      <c r="M8" s="25"/>
      <c r="N8" s="15"/>
    </row>
    <row r="9" spans="1:15" x14ac:dyDescent="0.25">
      <c r="A9" s="4" t="s">
        <v>56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15"/>
      <c r="M9" s="25"/>
      <c r="N9" s="15"/>
    </row>
    <row r="10" spans="1:15" x14ac:dyDescent="0.25">
      <c r="A10" s="16" t="s">
        <v>57</v>
      </c>
      <c r="B10" s="17" t="s">
        <v>208</v>
      </c>
      <c r="C10" s="17" t="s">
        <v>209</v>
      </c>
      <c r="D10" s="17" t="s">
        <v>208</v>
      </c>
      <c r="E10" s="17" t="s">
        <v>208</v>
      </c>
      <c r="F10" s="17" t="s">
        <v>208</v>
      </c>
      <c r="G10" s="17" t="s">
        <v>208</v>
      </c>
      <c r="H10" s="17" t="s">
        <v>208</v>
      </c>
      <c r="I10" s="17" t="s">
        <v>208</v>
      </c>
      <c r="J10" s="17" t="s">
        <v>209</v>
      </c>
      <c r="K10" s="17" t="s">
        <v>209</v>
      </c>
      <c r="L10" s="15"/>
      <c r="M10" s="25"/>
      <c r="N10" s="15"/>
    </row>
    <row r="11" spans="1:15" x14ac:dyDescent="0.25">
      <c r="A11" s="4" t="s">
        <v>58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13" t="s">
        <v>208</v>
      </c>
      <c r="H11" s="13" t="s">
        <v>209</v>
      </c>
      <c r="I11" s="13" t="s">
        <v>208</v>
      </c>
      <c r="J11" s="13" t="s">
        <v>208</v>
      </c>
      <c r="K11" s="13" t="s">
        <v>209</v>
      </c>
      <c r="L11" s="15"/>
      <c r="M11" s="25"/>
      <c r="N11" s="15"/>
    </row>
    <row r="12" spans="1:15" x14ac:dyDescent="0.25">
      <c r="A12" s="16" t="s">
        <v>59</v>
      </c>
      <c r="B12" s="17" t="s">
        <v>208</v>
      </c>
      <c r="C12" s="17" t="s">
        <v>208</v>
      </c>
      <c r="D12" s="17" t="s">
        <v>208</v>
      </c>
      <c r="E12" s="17" t="s">
        <v>208</v>
      </c>
      <c r="F12" s="17" t="s">
        <v>208</v>
      </c>
      <c r="G12" s="17" t="s">
        <v>209</v>
      </c>
      <c r="H12" s="17" t="s">
        <v>209</v>
      </c>
      <c r="I12" s="17" t="s">
        <v>208</v>
      </c>
      <c r="J12" s="17" t="s">
        <v>208</v>
      </c>
      <c r="K12" s="17" t="s">
        <v>208</v>
      </c>
      <c r="L12" s="15"/>
      <c r="M12" s="25"/>
      <c r="N12" s="15"/>
    </row>
    <row r="13" spans="1:15" x14ac:dyDescent="0.25">
      <c r="A13" s="4" t="s">
        <v>60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13" t="s">
        <v>208</v>
      </c>
      <c r="H13" s="13" t="s">
        <v>208</v>
      </c>
      <c r="I13" s="13" t="s">
        <v>209</v>
      </c>
      <c r="J13" s="13" t="s">
        <v>209</v>
      </c>
      <c r="K13" s="13" t="s">
        <v>208</v>
      </c>
      <c r="L13" s="15"/>
      <c r="M13" s="25"/>
      <c r="N13" s="15"/>
    </row>
    <row r="14" spans="1:15" x14ac:dyDescent="0.25">
      <c r="A14" s="16" t="s">
        <v>61</v>
      </c>
      <c r="B14" s="17" t="s">
        <v>208</v>
      </c>
      <c r="C14" s="17" t="s">
        <v>208</v>
      </c>
      <c r="D14" s="17" t="s">
        <v>208</v>
      </c>
      <c r="E14" s="17" t="s">
        <v>208</v>
      </c>
      <c r="F14" s="17" t="s">
        <v>208</v>
      </c>
      <c r="G14" s="17" t="s">
        <v>208</v>
      </c>
      <c r="H14" s="17" t="s">
        <v>208</v>
      </c>
      <c r="I14" s="17" t="s">
        <v>208</v>
      </c>
      <c r="J14" s="17" t="s">
        <v>208</v>
      </c>
      <c r="K14" s="17" t="s">
        <v>208</v>
      </c>
      <c r="L14" s="15"/>
      <c r="M14" s="25"/>
      <c r="N14" s="15"/>
    </row>
    <row r="15" spans="1:15" x14ac:dyDescent="0.25">
      <c r="A15" s="4" t="s">
        <v>62</v>
      </c>
      <c r="B15" s="13" t="s">
        <v>209</v>
      </c>
      <c r="C15" s="13" t="s">
        <v>208</v>
      </c>
      <c r="D15" s="13" t="s">
        <v>209</v>
      </c>
      <c r="E15" s="13" t="s">
        <v>209</v>
      </c>
      <c r="F15" s="13" t="s">
        <v>209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15"/>
      <c r="M15" s="25"/>
      <c r="N15" s="15"/>
    </row>
    <row r="16" spans="1:15" x14ac:dyDescent="0.25">
      <c r="A16" s="16" t="s">
        <v>63</v>
      </c>
      <c r="B16" s="17" t="s">
        <v>208</v>
      </c>
      <c r="C16" s="17" t="s">
        <v>209</v>
      </c>
      <c r="D16" s="17" t="s">
        <v>209</v>
      </c>
      <c r="E16" s="17" t="s">
        <v>208</v>
      </c>
      <c r="F16" s="17" t="s">
        <v>208</v>
      </c>
      <c r="G16" s="17" t="s">
        <v>208</v>
      </c>
      <c r="H16" s="17" t="s">
        <v>208</v>
      </c>
      <c r="I16" s="17" t="s">
        <v>208</v>
      </c>
      <c r="J16" s="17" t="s">
        <v>209</v>
      </c>
      <c r="K16" s="17" t="s">
        <v>208</v>
      </c>
      <c r="L16" s="15"/>
      <c r="M16" s="25"/>
      <c r="N16" s="15"/>
    </row>
    <row r="18" spans="1:2" x14ac:dyDescent="0.25">
      <c r="A18" s="5" t="s">
        <v>210</v>
      </c>
      <c r="B18" s="15"/>
    </row>
    <row r="19" spans="1:2" x14ac:dyDescent="0.25">
      <c r="A19" s="5" t="s">
        <v>211</v>
      </c>
      <c r="B19" s="15"/>
    </row>
    <row r="20" spans="1:2" x14ac:dyDescent="0.25">
      <c r="A20" s="5" t="s">
        <v>212</v>
      </c>
      <c r="B20" s="25"/>
    </row>
    <row r="21" spans="1:2" x14ac:dyDescent="0.25">
      <c r="A21" s="5" t="s">
        <v>213</v>
      </c>
      <c r="B21" s="15"/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14" customWidth="1"/>
    <col min="3" max="4" width="13" customWidth="1"/>
    <col min="5" max="5" width="12" customWidth="1"/>
    <col min="6" max="6" width="17" customWidth="1"/>
  </cols>
  <sheetData>
    <row r="1" spans="1:6" ht="18" x14ac:dyDescent="0.25">
      <c r="A1" s="1" t="s">
        <v>214</v>
      </c>
    </row>
    <row r="2" spans="1:6" ht="75" customHeight="1" x14ac:dyDescent="0.25">
      <c r="A2" s="29" t="s">
        <v>215</v>
      </c>
      <c r="B2" s="30"/>
      <c r="C2" s="30"/>
      <c r="D2" s="30"/>
      <c r="E2" s="30"/>
      <c r="F2" s="30"/>
    </row>
    <row r="3" spans="1:6" x14ac:dyDescent="0.25">
      <c r="A3" s="31" t="s">
        <v>216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217</v>
      </c>
      <c r="B6" s="10" t="s">
        <v>218</v>
      </c>
      <c r="C6" s="10" t="s">
        <v>219</v>
      </c>
      <c r="D6" s="10" t="s">
        <v>220</v>
      </c>
      <c r="E6" s="10" t="s">
        <v>105</v>
      </c>
      <c r="F6" s="10" t="s">
        <v>221</v>
      </c>
    </row>
    <row r="7" spans="1:6" x14ac:dyDescent="0.25">
      <c r="A7" s="4" t="s">
        <v>222</v>
      </c>
      <c r="B7" s="19">
        <v>900000</v>
      </c>
      <c r="C7" s="19">
        <v>900000</v>
      </c>
      <c r="D7" s="26"/>
      <c r="E7" s="15"/>
      <c r="F7" s="27"/>
    </row>
    <row r="8" spans="1:6" x14ac:dyDescent="0.25">
      <c r="A8" s="16" t="s">
        <v>223</v>
      </c>
      <c r="B8" s="21">
        <v>600000</v>
      </c>
      <c r="C8" s="21">
        <v>685000</v>
      </c>
      <c r="D8" s="26"/>
      <c r="E8" s="15"/>
      <c r="F8" s="27"/>
    </row>
    <row r="9" spans="1:6" x14ac:dyDescent="0.25">
      <c r="A9" s="4" t="s">
        <v>224</v>
      </c>
      <c r="B9" s="19">
        <v>200000</v>
      </c>
      <c r="C9" s="19">
        <v>175000</v>
      </c>
      <c r="D9" s="26"/>
      <c r="E9" s="15"/>
      <c r="F9" s="27"/>
    </row>
    <row r="10" spans="1:6" x14ac:dyDescent="0.25">
      <c r="A10" s="16" t="s">
        <v>225</v>
      </c>
      <c r="B10" s="21">
        <v>250000</v>
      </c>
      <c r="C10" s="21">
        <v>268000</v>
      </c>
      <c r="D10" s="26"/>
      <c r="E10" s="15"/>
      <c r="F10" s="27"/>
    </row>
    <row r="11" spans="1:6" x14ac:dyDescent="0.25">
      <c r="A11" s="4" t="s">
        <v>226</v>
      </c>
      <c r="B11" s="19">
        <v>300000</v>
      </c>
      <c r="C11" s="19">
        <v>300000</v>
      </c>
      <c r="D11" s="26"/>
      <c r="E11" s="15"/>
      <c r="F11" s="27"/>
    </row>
    <row r="12" spans="1:6" x14ac:dyDescent="0.25">
      <c r="A12" s="16" t="s">
        <v>227</v>
      </c>
      <c r="B12" s="21">
        <v>150000</v>
      </c>
      <c r="C12" s="21">
        <v>90000</v>
      </c>
      <c r="D12" s="26"/>
      <c r="E12" s="15"/>
      <c r="F12" s="27"/>
    </row>
    <row r="13" spans="1:6" x14ac:dyDescent="0.25">
      <c r="A13" s="4" t="s">
        <v>228</v>
      </c>
      <c r="B13" s="19">
        <v>120000</v>
      </c>
      <c r="C13" s="19">
        <v>195000</v>
      </c>
      <c r="D13" s="26"/>
      <c r="E13" s="15"/>
      <c r="F13" s="27"/>
    </row>
    <row r="14" spans="1:6" x14ac:dyDescent="0.25">
      <c r="A14" s="16" t="s">
        <v>229</v>
      </c>
      <c r="B14" s="21">
        <v>100000</v>
      </c>
      <c r="C14" s="21">
        <v>60000</v>
      </c>
      <c r="D14" s="26"/>
      <c r="E14" s="15"/>
      <c r="F14" s="27"/>
    </row>
    <row r="15" spans="1:6" x14ac:dyDescent="0.25">
      <c r="A15" s="4" t="s">
        <v>230</v>
      </c>
      <c r="B15" s="19">
        <v>200000</v>
      </c>
      <c r="C15" s="19">
        <v>150000</v>
      </c>
      <c r="D15" s="26"/>
      <c r="E15" s="15"/>
      <c r="F15" s="27"/>
    </row>
    <row r="17" spans="1:2" x14ac:dyDescent="0.25">
      <c r="A17" s="5" t="s">
        <v>231</v>
      </c>
      <c r="B17" s="20"/>
    </row>
    <row r="18" spans="1:2" x14ac:dyDescent="0.25">
      <c r="A18" s="5" t="s">
        <v>232</v>
      </c>
      <c r="B18" s="20"/>
    </row>
    <row r="19" spans="1:2" x14ac:dyDescent="0.25">
      <c r="A19" s="5" t="s">
        <v>233</v>
      </c>
      <c r="B19" s="26"/>
    </row>
    <row r="20" spans="1:2" x14ac:dyDescent="0.25">
      <c r="A20" s="5" t="s">
        <v>234</v>
      </c>
      <c r="B20" s="15"/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workbookViewId="0"/>
  </sheetViews>
  <sheetFormatPr baseColWidth="10" defaultColWidth="9.140625" defaultRowHeight="15" x14ac:dyDescent="0.25"/>
  <cols>
    <col min="1" max="1" width="32" customWidth="1"/>
    <col min="2" max="2" width="9" customWidth="1"/>
    <col min="3" max="3" width="11" customWidth="1"/>
    <col min="4" max="4" width="9" customWidth="1"/>
    <col min="5" max="5" width="13" customWidth="1"/>
    <col min="6" max="6" width="15" customWidth="1"/>
    <col min="7" max="7" width="16" customWidth="1"/>
    <col min="8" max="8" width="8" customWidth="1"/>
    <col min="9" max="9" width="10" customWidth="1"/>
    <col min="10" max="10" width="9" customWidth="1"/>
  </cols>
  <sheetData>
    <row r="1" spans="1:10" ht="18" x14ac:dyDescent="0.25">
      <c r="A1" s="1" t="s">
        <v>235</v>
      </c>
    </row>
    <row r="2" spans="1:10" ht="60" customHeight="1" x14ac:dyDescent="0.25">
      <c r="A2" s="29" t="s">
        <v>236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1" t="s">
        <v>237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</row>
    <row r="6" spans="1:10" x14ac:dyDescent="0.25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  <c r="F6" s="10" t="s">
        <v>243</v>
      </c>
      <c r="G6" s="10" t="s">
        <v>244</v>
      </c>
      <c r="H6" s="10" t="s">
        <v>245</v>
      </c>
      <c r="I6" s="10" t="s">
        <v>246</v>
      </c>
      <c r="J6" s="10" t="s">
        <v>247</v>
      </c>
    </row>
    <row r="7" spans="1:10" x14ac:dyDescent="0.25">
      <c r="A7" s="4" t="s">
        <v>248</v>
      </c>
      <c r="B7" s="13">
        <v>4</v>
      </c>
      <c r="C7" s="13">
        <v>3</v>
      </c>
      <c r="D7" s="13">
        <v>3</v>
      </c>
      <c r="E7" s="13">
        <v>12</v>
      </c>
      <c r="F7" s="13">
        <v>12</v>
      </c>
      <c r="G7" s="15"/>
      <c r="H7" s="15"/>
      <c r="I7" s="28"/>
      <c r="J7" s="15"/>
    </row>
    <row r="8" spans="1:10" x14ac:dyDescent="0.25">
      <c r="A8" s="16" t="s">
        <v>249</v>
      </c>
      <c r="B8" s="17">
        <v>6</v>
      </c>
      <c r="C8" s="17">
        <v>0</v>
      </c>
      <c r="D8" s="17">
        <v>4</v>
      </c>
      <c r="E8" s="17">
        <v>17</v>
      </c>
      <c r="F8" s="17">
        <v>11</v>
      </c>
      <c r="G8" s="15"/>
      <c r="H8" s="15"/>
      <c r="I8" s="28"/>
      <c r="J8" s="15"/>
    </row>
    <row r="9" spans="1:10" x14ac:dyDescent="0.25">
      <c r="A9" s="4" t="s">
        <v>250</v>
      </c>
      <c r="B9" s="13">
        <v>8</v>
      </c>
      <c r="C9" s="13">
        <v>2</v>
      </c>
      <c r="D9" s="13">
        <v>0</v>
      </c>
      <c r="E9" s="13">
        <v>23</v>
      </c>
      <c r="F9" s="13">
        <v>2</v>
      </c>
      <c r="G9" s="15"/>
      <c r="H9" s="15"/>
      <c r="I9" s="28"/>
      <c r="J9" s="15"/>
    </row>
    <row r="10" spans="1:10" x14ac:dyDescent="0.25">
      <c r="A10" s="16" t="s">
        <v>251</v>
      </c>
      <c r="B10" s="17">
        <v>3</v>
      </c>
      <c r="C10" s="17">
        <v>1</v>
      </c>
      <c r="D10" s="17">
        <v>6</v>
      </c>
      <c r="E10" s="17">
        <v>8</v>
      </c>
      <c r="F10" s="17">
        <v>13</v>
      </c>
      <c r="G10" s="15"/>
      <c r="H10" s="15"/>
      <c r="I10" s="28"/>
      <c r="J10" s="15"/>
    </row>
    <row r="11" spans="1:10" x14ac:dyDescent="0.25">
      <c r="A11" s="4" t="s">
        <v>252</v>
      </c>
      <c r="B11" s="13">
        <v>3</v>
      </c>
      <c r="C11" s="13">
        <v>4</v>
      </c>
      <c r="D11" s="13">
        <v>3</v>
      </c>
      <c r="E11" s="13">
        <v>13</v>
      </c>
      <c r="F11" s="13">
        <v>15</v>
      </c>
      <c r="G11" s="15"/>
      <c r="H11" s="15"/>
      <c r="I11" s="28"/>
      <c r="J11" s="15"/>
    </row>
    <row r="12" spans="1:10" x14ac:dyDescent="0.25">
      <c r="A12" s="16" t="s">
        <v>253</v>
      </c>
      <c r="B12" s="17">
        <v>3</v>
      </c>
      <c r="C12" s="17">
        <v>4</v>
      </c>
      <c r="D12" s="17">
        <v>3</v>
      </c>
      <c r="E12" s="17">
        <v>14</v>
      </c>
      <c r="F12" s="17">
        <v>13</v>
      </c>
      <c r="G12" s="15"/>
      <c r="H12" s="15"/>
      <c r="I12" s="28"/>
      <c r="J12" s="15"/>
    </row>
    <row r="13" spans="1:10" x14ac:dyDescent="0.25">
      <c r="A13" s="4" t="s">
        <v>254</v>
      </c>
      <c r="B13" s="13">
        <v>6</v>
      </c>
      <c r="C13" s="13">
        <v>1</v>
      </c>
      <c r="D13" s="13">
        <v>3</v>
      </c>
      <c r="E13" s="13">
        <v>17</v>
      </c>
      <c r="F13" s="13">
        <v>11</v>
      </c>
      <c r="G13" s="15"/>
      <c r="H13" s="15"/>
      <c r="I13" s="28"/>
      <c r="J13" s="15"/>
    </row>
    <row r="14" spans="1:10" x14ac:dyDescent="0.25">
      <c r="A14" s="16" t="s">
        <v>255</v>
      </c>
      <c r="B14" s="17">
        <v>3</v>
      </c>
      <c r="C14" s="17">
        <v>0</v>
      </c>
      <c r="D14" s="17">
        <v>7</v>
      </c>
      <c r="E14" s="17">
        <v>6</v>
      </c>
      <c r="F14" s="17">
        <v>19</v>
      </c>
      <c r="G14" s="15"/>
      <c r="H14" s="15"/>
      <c r="I14" s="28"/>
      <c r="J14" s="15"/>
    </row>
    <row r="16" spans="1:10" x14ac:dyDescent="0.25">
      <c r="A16" s="5" t="s">
        <v>256</v>
      </c>
      <c r="B16" s="15"/>
    </row>
    <row r="17" spans="1:2" x14ac:dyDescent="0.25">
      <c r="A17" s="5" t="s">
        <v>257</v>
      </c>
      <c r="B17" s="15"/>
    </row>
    <row r="18" spans="1:2" x14ac:dyDescent="0.25">
      <c r="A18" s="5" t="s">
        <v>258</v>
      </c>
      <c r="B18" s="15"/>
    </row>
    <row r="19" spans="1:2" x14ac:dyDescent="0.25">
      <c r="A19" s="5" t="s">
        <v>259</v>
      </c>
      <c r="B19" s="15"/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 Notas</vt:lpstr>
      <vt:lpstr>2 Ventas</vt:lpstr>
      <vt:lpstr>3 Inventario</vt:lpstr>
      <vt:lpstr>4 Nómina</vt:lpstr>
      <vt:lpstr>5 Factura</vt:lpstr>
      <vt:lpstr>6 Descuentos</vt:lpstr>
      <vt:lpstr>7 Temperaturas</vt:lpstr>
      <vt:lpstr>8 Asistencia</vt:lpstr>
      <vt:lpstr>9 Presupuesto</vt:lpstr>
      <vt:lpstr>10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2026-09-12T12:14:55Z</dcterms:created>
  <dcterms:modified xsi:type="dcterms:W3CDTF">2026-09-12T16:55:29Z</dcterms:modified>
</cp:coreProperties>
</file>