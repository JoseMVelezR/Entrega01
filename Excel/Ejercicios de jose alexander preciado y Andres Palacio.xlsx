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eci\Desktop\Entrega01\Excel\"/>
    </mc:Choice>
  </mc:AlternateContent>
  <xr:revisionPtr revIDLastSave="0" documentId="8_{D191CE5A-F06E-4367-853C-F80F7293010C}" xr6:coauthVersionLast="47" xr6:coauthVersionMax="47" xr10:uidLastSave="{00000000-0000-0000-0000-000000000000}"/>
  <bookViews>
    <workbookView xWindow="-108" yWindow="-108" windowWidth="23256" windowHeight="13896" firstSheet="4" activeTab="10" xr2:uid="{00000000-000D-0000-FFFF-FFFF00000000}"/>
  </bookViews>
  <sheets>
    <sheet name="Índice" sheetId="1" r:id="rId1"/>
    <sheet name="1 Notas" sheetId="2" r:id="rId2"/>
    <sheet name="2 Ventas" sheetId="3" r:id="rId3"/>
    <sheet name="3 Inventario" sheetId="4" r:id="rId4"/>
    <sheet name="4 Nómina" sheetId="5" r:id="rId5"/>
    <sheet name="5 Factura" sheetId="6" r:id="rId6"/>
    <sheet name="6 Descuentos" sheetId="7" r:id="rId7"/>
    <sheet name="7 Temperaturas" sheetId="8" r:id="rId8"/>
    <sheet name="8 Asistencia" sheetId="9" r:id="rId9"/>
    <sheet name="9 Presupuesto" sheetId="10" r:id="rId10"/>
    <sheet name="10 Lig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1" l="1"/>
  <c r="B18" i="11"/>
  <c r="B17" i="11"/>
  <c r="B16" i="11"/>
  <c r="B20" i="10"/>
  <c r="B19" i="10"/>
  <c r="B18" i="10"/>
  <c r="B17" i="10"/>
  <c r="F8" i="10"/>
  <c r="F9" i="10"/>
  <c r="F10" i="10"/>
  <c r="F11" i="10"/>
  <c r="F12" i="10"/>
  <c r="F13" i="10"/>
  <c r="F14" i="10"/>
  <c r="F15" i="10"/>
  <c r="F7" i="10"/>
  <c r="E8" i="10"/>
  <c r="E9" i="10"/>
  <c r="E10" i="10"/>
  <c r="E11" i="10"/>
  <c r="E12" i="10"/>
  <c r="E13" i="10"/>
  <c r="E14" i="10"/>
  <c r="E15" i="10"/>
  <c r="E7" i="10"/>
  <c r="D8" i="10"/>
  <c r="D9" i="10"/>
  <c r="D10" i="10"/>
  <c r="D11" i="10"/>
  <c r="D12" i="10"/>
  <c r="D13" i="10"/>
  <c r="D14" i="10"/>
  <c r="D15" i="10"/>
  <c r="D7" i="10"/>
  <c r="B21" i="9"/>
  <c r="B20" i="9"/>
  <c r="B19" i="9"/>
  <c r="B18" i="9"/>
  <c r="B18" i="2"/>
  <c r="M7" i="9"/>
  <c r="N7" i="9"/>
  <c r="N8" i="9"/>
  <c r="N9" i="9"/>
  <c r="N10" i="9"/>
  <c r="N11" i="9"/>
  <c r="N12" i="9"/>
  <c r="N13" i="9"/>
  <c r="N14" i="9"/>
  <c r="N15" i="9"/>
  <c r="N16" i="9"/>
  <c r="M8" i="9"/>
  <c r="M9" i="9"/>
  <c r="M10" i="9"/>
  <c r="M11" i="9"/>
  <c r="M12" i="9"/>
  <c r="M13" i="9"/>
  <c r="M14" i="9"/>
  <c r="M15" i="9"/>
  <c r="M16" i="9"/>
  <c r="L8" i="9"/>
  <c r="L9" i="9"/>
  <c r="L10" i="9"/>
  <c r="L11" i="9"/>
  <c r="L12" i="9"/>
  <c r="L13" i="9"/>
  <c r="L14" i="9"/>
  <c r="L15" i="9"/>
  <c r="L16" i="9"/>
  <c r="L7" i="9"/>
  <c r="J8" i="11"/>
  <c r="J9" i="11"/>
  <c r="J10" i="11"/>
  <c r="J11" i="11"/>
  <c r="J12" i="11"/>
  <c r="J13" i="11"/>
  <c r="J14" i="11"/>
  <c r="L7" i="8"/>
  <c r="B16" i="8" s="1"/>
  <c r="C11" i="7"/>
  <c r="B15" i="6"/>
  <c r="F12" i="5"/>
  <c r="B16" i="5" s="1"/>
  <c r="F14" i="5"/>
  <c r="F8" i="5"/>
  <c r="H8" i="3"/>
  <c r="H9" i="3"/>
  <c r="H10" i="3"/>
  <c r="H11" i="3"/>
  <c r="H12" i="3"/>
  <c r="H13" i="3"/>
  <c r="H14" i="3"/>
  <c r="H7" i="3"/>
  <c r="H8" i="2"/>
  <c r="H9" i="2"/>
  <c r="H10" i="2"/>
  <c r="H11" i="2"/>
  <c r="H12" i="2"/>
  <c r="H13" i="2"/>
  <c r="H14" i="2"/>
  <c r="H15" i="2"/>
  <c r="H16" i="2"/>
  <c r="H7" i="2"/>
  <c r="B22" i="2"/>
  <c r="G7" i="2"/>
  <c r="I8" i="11"/>
  <c r="I9" i="11"/>
  <c r="I10" i="11"/>
  <c r="I11" i="11"/>
  <c r="I12" i="11"/>
  <c r="I13" i="11"/>
  <c r="I14" i="11"/>
  <c r="I7" i="11"/>
  <c r="H8" i="11"/>
  <c r="H9" i="11"/>
  <c r="H10" i="11"/>
  <c r="H11" i="11"/>
  <c r="H12" i="11"/>
  <c r="H13" i="11"/>
  <c r="H14" i="11"/>
  <c r="H7" i="11"/>
  <c r="G8" i="11"/>
  <c r="G9" i="11"/>
  <c r="G10" i="11"/>
  <c r="G11" i="11"/>
  <c r="G12" i="11"/>
  <c r="G13" i="11"/>
  <c r="G14" i="11"/>
  <c r="G7" i="11"/>
  <c r="B17" i="8"/>
  <c r="B24" i="7"/>
  <c r="B15" i="8"/>
  <c r="B14" i="8"/>
  <c r="L8" i="8"/>
  <c r="L9" i="8"/>
  <c r="L12" i="8"/>
  <c r="L11" i="8"/>
  <c r="L10" i="8"/>
  <c r="K8" i="8"/>
  <c r="K9" i="8"/>
  <c r="K10" i="8"/>
  <c r="K11" i="8"/>
  <c r="K12" i="8"/>
  <c r="K7" i="8"/>
  <c r="J8" i="8"/>
  <c r="J9" i="8"/>
  <c r="J10" i="8"/>
  <c r="J11" i="8"/>
  <c r="J12" i="8"/>
  <c r="J7" i="8"/>
  <c r="I8" i="8"/>
  <c r="I9" i="8"/>
  <c r="I10" i="8"/>
  <c r="I11" i="8"/>
  <c r="I12" i="8"/>
  <c r="I7" i="8"/>
  <c r="E12" i="7"/>
  <c r="E13" i="7"/>
  <c r="E14" i="7"/>
  <c r="E15" i="7"/>
  <c r="E16" i="7"/>
  <c r="E17" i="7"/>
  <c r="E18" i="7"/>
  <c r="E19" i="7"/>
  <c r="E20" i="7"/>
  <c r="C13" i="7"/>
  <c r="C14" i="7"/>
  <c r="C15" i="7"/>
  <c r="C16" i="7"/>
  <c r="D16" i="7" s="1"/>
  <c r="C17" i="7"/>
  <c r="D17" i="7" s="1"/>
  <c r="C18" i="7"/>
  <c r="D18" i="7" s="1"/>
  <c r="C19" i="7"/>
  <c r="D19" i="7" s="1"/>
  <c r="C20" i="7"/>
  <c r="D20" i="7" s="1"/>
  <c r="C12" i="7"/>
  <c r="D12" i="7" s="1"/>
  <c r="D13" i="7"/>
  <c r="D14" i="7"/>
  <c r="D15" i="7"/>
  <c r="D11" i="7"/>
  <c r="B23" i="7" s="1"/>
  <c r="B17" i="6"/>
  <c r="B16" i="6"/>
  <c r="B14" i="6"/>
  <c r="D8" i="6"/>
  <c r="D9" i="6"/>
  <c r="D10" i="6"/>
  <c r="D11" i="6"/>
  <c r="D12" i="6"/>
  <c r="D7" i="6"/>
  <c r="B18" i="5"/>
  <c r="B17" i="5"/>
  <c r="F13" i="5"/>
  <c r="D14" i="5"/>
  <c r="D12" i="5"/>
  <c r="F9" i="5"/>
  <c r="F10" i="5"/>
  <c r="F11" i="5"/>
  <c r="F7" i="5"/>
  <c r="E8" i="5"/>
  <c r="E9" i="5"/>
  <c r="E10" i="5"/>
  <c r="E11" i="5"/>
  <c r="E12" i="5"/>
  <c r="E13" i="5"/>
  <c r="E14" i="5"/>
  <c r="E7" i="5"/>
  <c r="D8" i="5"/>
  <c r="D9" i="5"/>
  <c r="D10" i="5"/>
  <c r="D11" i="5"/>
  <c r="D13" i="5"/>
  <c r="D7" i="5"/>
  <c r="B18" i="4"/>
  <c r="B20" i="4"/>
  <c r="B19" i="4"/>
  <c r="F8" i="4"/>
  <c r="F9" i="4"/>
  <c r="F10" i="4"/>
  <c r="F11" i="4"/>
  <c r="F12" i="4"/>
  <c r="F13" i="4"/>
  <c r="F14" i="4"/>
  <c r="F15" i="4"/>
  <c r="F16" i="4"/>
  <c r="F7" i="4"/>
  <c r="E8" i="4"/>
  <c r="E9" i="4"/>
  <c r="E10" i="4"/>
  <c r="E11" i="4"/>
  <c r="E12" i="4"/>
  <c r="E13" i="4"/>
  <c r="E14" i="4"/>
  <c r="E15" i="4"/>
  <c r="E16" i="4"/>
  <c r="E7" i="4"/>
  <c r="B20" i="3"/>
  <c r="B20" i="2"/>
  <c r="G8" i="2"/>
  <c r="G9" i="2"/>
  <c r="G10" i="2"/>
  <c r="G11" i="2"/>
  <c r="G12" i="2"/>
  <c r="G13" i="2"/>
  <c r="G14" i="2"/>
  <c r="G15" i="2"/>
  <c r="G16" i="2"/>
  <c r="B19" i="3"/>
  <c r="B18" i="3"/>
  <c r="B17" i="3"/>
  <c r="B16" i="3"/>
  <c r="F7" i="3"/>
  <c r="F9" i="3"/>
  <c r="F10" i="3"/>
  <c r="F11" i="3"/>
  <c r="F12" i="3"/>
  <c r="F13" i="3"/>
  <c r="F14" i="3"/>
  <c r="G8" i="3"/>
  <c r="G9" i="3"/>
  <c r="G10" i="3"/>
  <c r="G11" i="3"/>
  <c r="G12" i="3"/>
  <c r="G13" i="3"/>
  <c r="G14" i="3"/>
  <c r="G7" i="3"/>
  <c r="F8" i="3"/>
  <c r="E11" i="7" l="1"/>
  <c r="B22" i="7" s="1"/>
  <c r="B19" i="2"/>
  <c r="B21" i="2"/>
</calcChain>
</file>

<file path=xl/sharedStrings.xml><?xml version="1.0" encoding="utf-8"?>
<sst xmlns="http://schemas.openxmlformats.org/spreadsheetml/2006/main" count="401" uniqueCount="260">
  <si>
    <t>10 ejercicios de Excel con fórmulas</t>
  </si>
  <si>
    <t>Cada hoja contiene un ejercicio. Lee el enunciado, completa las celdas amarillas con fórmulas y comprueba que al cambiar los datos en azul los resultados se actualicen solos.</t>
  </si>
  <si>
    <t>Hoja</t>
  </si>
  <si>
    <t>Ejercicio</t>
  </si>
  <si>
    <t>Funciones que se practican</t>
  </si>
  <si>
    <t>1 Notas</t>
  </si>
  <si>
    <t>¿Quién aprueba?</t>
  </si>
  <si>
    <t>PROMEDIO, SI, CONTAR.SI, MAX, MIN</t>
  </si>
  <si>
    <t>2 Ventas</t>
  </si>
  <si>
    <t>Ventas del trimestre</t>
  </si>
  <si>
    <t>SUMA, PROMEDIO, SUMAR.SI, referencias $</t>
  </si>
  <si>
    <t>3 Inventario</t>
  </si>
  <si>
    <t>Control de inventario</t>
  </si>
  <si>
    <t>SI, SUMA, CONTAR.SI</t>
  </si>
  <si>
    <t>4 Nómina</t>
  </si>
  <si>
    <t>Nómina con horas extra</t>
  </si>
  <si>
    <t>MIN, MAX, SUMA, CONTAR.SI</t>
  </si>
  <si>
    <t>5 Factura</t>
  </si>
  <si>
    <t>Factura de compra</t>
  </si>
  <si>
    <t>SUMA, referencias $</t>
  </si>
  <si>
    <t>6 Descuentos</t>
  </si>
  <si>
    <t>Descuento según el monto</t>
  </si>
  <si>
    <t>SI anidado, referencias $</t>
  </si>
  <si>
    <t>7 Temperaturas</t>
  </si>
  <si>
    <t>Temperaturas de la semana</t>
  </si>
  <si>
    <t>PROMEDIO, MAX, MIN, CONTAR.SI con &gt;</t>
  </si>
  <si>
    <t>8 Asistencia</t>
  </si>
  <si>
    <t>Registro de asistencia</t>
  </si>
  <si>
    <t>CONTAR.SI, SI, porcentajes</t>
  </si>
  <si>
    <t>9 Presupuesto</t>
  </si>
  <si>
    <t>Presupuesto del hogar</t>
  </si>
  <si>
    <t>SI, SUMA, % del total</t>
  </si>
  <si>
    <t>10 Liga</t>
  </si>
  <si>
    <t>Tabla de posiciones</t>
  </si>
  <si>
    <t>SUMA, JERARQUIA, INDICE+COINCIDIR</t>
  </si>
  <si>
    <t>Leyenda:</t>
  </si>
  <si>
    <t>Celda amarilla</t>
  </si>
  <si>
    <t>Aquí va tu fórmula</t>
  </si>
  <si>
    <t>Texto azul</t>
  </si>
  <si>
    <t>Dato o parámetro que puedes cambiar para probar</t>
  </si>
  <si>
    <t>Nota: los nombres de las funciones están en español (Excel en español). Equivalentes en inglés: PROMEDIO=AVERAGE, SI=IF, CONTAR.SI=COUNTIF, SUMAR.SI=SUMIF, REDONDEAR=ROUND, JERARQUIA=RANK, INDICE=INDEX, COINCIDIR=MATCH.</t>
  </si>
  <si>
    <t>Ejercicio 1: ¿Quién aprueba?</t>
  </si>
  <si>
    <t>En un salón hay 10 estudiantes y cada uno tiene 5 notas (de 0 a 100). Calcula el promedio de cada estudiante y determina si APRUEBA o NO APRUEBA. La nota mínima para aprobar está en la celda J6 (cámbiala y observa cómo cambian los resultados). Al final, cuenta cuántos aprobaron y cuántos no.</t>
  </si>
  <si>
    <t>Funciones sugeridas: PROMEDIO, SI, CONTAR.SI, MAX, MIN, REDONDEAR</t>
  </si>
  <si>
    <t>Las celdas amarillas son las que debes completar con una fórmula. Los datos en azul los puedes cambiar para probar que tus fórmulas se actualizan.</t>
  </si>
  <si>
    <t>Estudiante</t>
  </si>
  <si>
    <t>Nota 1</t>
  </si>
  <si>
    <t>Nota 2</t>
  </si>
  <si>
    <t>Nota 3</t>
  </si>
  <si>
    <t>Nota 4</t>
  </si>
  <si>
    <t>Nota 5</t>
  </si>
  <si>
    <t>Promedio</t>
  </si>
  <si>
    <t>Resultado</t>
  </si>
  <si>
    <t>Nota mínima:</t>
  </si>
  <si>
    <t>Ana Torres</t>
  </si>
  <si>
    <t>Luis Pérez</t>
  </si>
  <si>
    <t>María Gómez</t>
  </si>
  <si>
    <t>Carlos Ruiz</t>
  </si>
  <si>
    <t>Sofía Díaz</t>
  </si>
  <si>
    <t>Diego Ramos</t>
  </si>
  <si>
    <t>Valentina Mora</t>
  </si>
  <si>
    <t>Andrés Castro</t>
  </si>
  <si>
    <t>Camila Rojas</t>
  </si>
  <si>
    <t>Mateo Vargas</t>
  </si>
  <si>
    <t>Cantidad que aprueban:</t>
  </si>
  <si>
    <t>Cantidad que no aprueban:</t>
  </si>
  <si>
    <t>Promedio del grupo:</t>
  </si>
  <si>
    <t>Promedio más alto:</t>
  </si>
  <si>
    <t>Promedio más bajo:</t>
  </si>
  <si>
    <t>Ejercicio 2: Ventas del trimestre</t>
  </si>
  <si>
    <t>Una empresa tiene 8 vendedores en tres regiones. Calcula el total vendido por cada uno en el trimestre, su promedio mensual y la comisión que le corresponde (el porcentaje está en la celda J6). Luego calcula cuánto vendió cada región en total.</t>
  </si>
  <si>
    <t>Funciones sugeridas: SUMA, PROMEDIO, SUMAR.SI, MAX, referencias absolutas ($)</t>
  </si>
  <si>
    <t>Vendedor</t>
  </si>
  <si>
    <t>Región</t>
  </si>
  <si>
    <t>Enero</t>
  </si>
  <si>
    <t>Febrero</t>
  </si>
  <si>
    <t>Marzo</t>
  </si>
  <si>
    <t>Total</t>
  </si>
  <si>
    <t>Promedio mensual</t>
  </si>
  <si>
    <t>Comisión</t>
  </si>
  <si>
    <t>Comisión:</t>
  </si>
  <si>
    <t>Pedro López</t>
  </si>
  <si>
    <t>Norte</t>
  </si>
  <si>
    <t>Laura Méndez</t>
  </si>
  <si>
    <t>Sur</t>
  </si>
  <si>
    <t>Jorge Silva</t>
  </si>
  <si>
    <t>Centro</t>
  </si>
  <si>
    <t>Elena Cruz</t>
  </si>
  <si>
    <t>Raúl Ortega</t>
  </si>
  <si>
    <t>Marta Núñez</t>
  </si>
  <si>
    <t>Iván Herrera</t>
  </si>
  <si>
    <t>Rosa Aguilar</t>
  </si>
  <si>
    <t>Total región Norte:</t>
  </si>
  <si>
    <t>Total región Sur:</t>
  </si>
  <si>
    <t>Total región Centro:</t>
  </si>
  <si>
    <t>Venta total de la empresa:</t>
  </si>
  <si>
    <t>Mayor venta individual:</t>
  </si>
  <si>
    <t>Ejercicio 3: Control de inventario</t>
  </si>
  <si>
    <t>Una papelería lleva el control de 10 productos. Calcula el valor total de cada producto en bodega (cantidad × precio) y escribe REPONER en los productos cuya cantidad está por debajo del stock mínimo; en caso contrario escribe OK. Al final calcula el valor total del inventario y cuántos productos hay que reponer.</t>
  </si>
  <si>
    <t>Funciones sugeridas: SI, SUMA, CONTAR.SI, multiplicación</t>
  </si>
  <si>
    <t>Producto</t>
  </si>
  <si>
    <t>Cantidad</t>
  </si>
  <si>
    <t>Stock mínimo</t>
  </si>
  <si>
    <t>Precio unitario</t>
  </si>
  <si>
    <t>Valor total</t>
  </si>
  <si>
    <t>Estado</t>
  </si>
  <si>
    <t>Cuadernos</t>
  </si>
  <si>
    <t>Lápices</t>
  </si>
  <si>
    <t>Bolígrafos</t>
  </si>
  <si>
    <t>Borradores</t>
  </si>
  <si>
    <t>Reglas</t>
  </si>
  <si>
    <t>Marcadores</t>
  </si>
  <si>
    <t>Carpetas</t>
  </si>
  <si>
    <t>Tijeras</t>
  </si>
  <si>
    <t>Pegamento</t>
  </si>
  <si>
    <t>Colores (caja)</t>
  </si>
  <si>
    <t>Valor total del inventario:</t>
  </si>
  <si>
    <t>Productos por reponer:</t>
  </si>
  <si>
    <t>Unidades totales en bodega:</t>
  </si>
  <si>
    <t>Ejercicio 4: Nómina con horas extra</t>
  </si>
  <si>
    <t>Calcula el pago semanal de 8 empleados. Las primeras 40 horas se pagan a la tarifa normal; las horas que superen 40 se pagan con un recargo (celda J6: 50 % significa 1,5 veces la tarifa). Separa las horas normales de las extra, calcula el pago de cada uno y al final el total de la nómina.</t>
  </si>
  <si>
    <t>Funciones sugeridas: MIN, MAX, SUMA, CONTAR.SI, referencias absolutas ($)</t>
  </si>
  <si>
    <t>Empleado</t>
  </si>
  <si>
    <t>Horas trabajadas</t>
  </si>
  <si>
    <t>Tarifa por hora</t>
  </si>
  <si>
    <t>Horas normales</t>
  </si>
  <si>
    <t>Horas extra</t>
  </si>
  <si>
    <t>Pago total</t>
  </si>
  <si>
    <t>Recargo extra:</t>
  </si>
  <si>
    <t>Juan Molina</t>
  </si>
  <si>
    <t>Patricia Vega</t>
  </si>
  <si>
    <t>Óscar Bravo</t>
  </si>
  <si>
    <t>Lucía Paredes</t>
  </si>
  <si>
    <t>Fernando Ríos</t>
  </si>
  <si>
    <t>Gabriela Soto</t>
  </si>
  <si>
    <t>Héctor Lara</t>
  </si>
  <si>
    <t>Natalia Peña</t>
  </si>
  <si>
    <t>Total de la nómina:</t>
  </si>
  <si>
    <t>Empleados con horas extra:</t>
  </si>
  <si>
    <t>Total de horas extra:</t>
  </si>
  <si>
    <t>Ejercicio 5: Factura de compra</t>
  </si>
  <si>
    <t>Un cliente compra varios productos. Calcula el subtotal de cada línea (cantidad × precio), luego el subtotal de la factura, el IVA (porcentaje en la celda J6) y el total a pagar.</t>
  </si>
  <si>
    <t>Funciones sugeridas: SUMA, multiplicación, referencias absolutas ($)</t>
  </si>
  <si>
    <t>Subtotal</t>
  </si>
  <si>
    <t>IVA:</t>
  </si>
  <si>
    <t>Teclado</t>
  </si>
  <si>
    <t>Mouse</t>
  </si>
  <si>
    <t>Monitor 24 pulgadas</t>
  </si>
  <si>
    <t>Cable HDMI</t>
  </si>
  <si>
    <t>Audífonos</t>
  </si>
  <si>
    <t>Base para laptop</t>
  </si>
  <si>
    <t>Subtotal:</t>
  </si>
  <si>
    <t>TOTAL A PAGAR:</t>
  </si>
  <si>
    <t>Cantidad de artículos:</t>
  </si>
  <si>
    <t>Ejercicio 6: Descuento según el monto</t>
  </si>
  <si>
    <t>Una tienda aplica descuentos por volumen de compra según la tabla de la derecha: si la compra es igual o mayor al monto 'Alto' recibe el descuento alto, si es igual o mayor al monto 'Medio' recibe el descuento medio, y si es menor no recibe descuento. Calcula el porcentaje, el descuento en dinero y el total a pagar de cada cliente.</t>
  </si>
  <si>
    <t>Funciones sugeridas: SI anidado (un SI dentro de otro SI), referencias absolutas ($)</t>
  </si>
  <si>
    <t>Regla</t>
  </si>
  <si>
    <t>Desde</t>
  </si>
  <si>
    <t>Descuento</t>
  </si>
  <si>
    <t>Alto</t>
  </si>
  <si>
    <t>Medio</t>
  </si>
  <si>
    <t>Cliente</t>
  </si>
  <si>
    <t>Monto de compra</t>
  </si>
  <si>
    <t>% Descuento</t>
  </si>
  <si>
    <t>Total a pagar</t>
  </si>
  <si>
    <t>Total vendido:</t>
  </si>
  <si>
    <t>Total en descuentos:</t>
  </si>
  <si>
    <t>Clientes con descuento:</t>
  </si>
  <si>
    <t>Ejercicio 7: Temperaturas de la semana</t>
  </si>
  <si>
    <t>Se registró la temperatura máxima diaria (°C) de 6 ciudades durante una semana. Para cada ciudad calcula el promedio, la temperatura más alta, la más baja y cuántos días fueron calurosos (más de 30 °C; el límite está en la celda M6).</t>
  </si>
  <si>
    <t>Funciones sugeridas: PROMEDIO, MAX, MIN, CONTAR.SI con criterio de comparación ("&gt;"&amp;celda)</t>
  </si>
  <si>
    <t>Ciudad</t>
  </si>
  <si>
    <t>Lun</t>
  </si>
  <si>
    <t>Mar</t>
  </si>
  <si>
    <t>Mié</t>
  </si>
  <si>
    <t>Jue</t>
  </si>
  <si>
    <t>Vie</t>
  </si>
  <si>
    <t>Sáb</t>
  </si>
  <si>
    <t>Dom</t>
  </si>
  <si>
    <t>Máxima</t>
  </si>
  <si>
    <t>Mínima</t>
  </si>
  <si>
    <t>Días calurosos</t>
  </si>
  <si>
    <t>Cartagena</t>
  </si>
  <si>
    <t>Bogotá</t>
  </si>
  <si>
    <t>Medellín</t>
  </si>
  <si>
    <t>Cali</t>
  </si>
  <si>
    <t>Barranquilla</t>
  </si>
  <si>
    <t>Manizales</t>
  </si>
  <si>
    <t>Temperatura más alta de la semana:</t>
  </si>
  <si>
    <t>Temperatura más baja de la semana:</t>
  </si>
  <si>
    <t>Total de días calurosos:</t>
  </si>
  <si>
    <t>Reto: ciudad con el promedio más alto:</t>
  </si>
  <si>
    <t>Ejercicio 8: Registro de asistencia</t>
  </si>
  <si>
    <t>Durante 10 clases se registró la asistencia de 10 estudiantes con P (presente) o A (ausente). Cuenta cuántas veces asistió cada uno, calcula su porcentaje de asistencia y determina si CUMPLE con el mínimo requerido (celda O6). Al final cuenta cuántos estudiantes cumplen.</t>
  </si>
  <si>
    <t>Funciones sugeridas: CONTAR.SI, SI, división, formato de porcentaje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</si>
  <si>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</si>
  <si>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</si>
  <si>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</si>
  <si>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</si>
  <si>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</si>
  <si>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</si>
  <si>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</si>
  <si>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</si>
  <si>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</si>
  <si>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</si>
  <si>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Asistencias</t>
  </si>
  <si>
    <t>% Asistencia</t>
  </si>
  <si>
    <t>P</t>
  </si>
  <si>
    <t>A</t>
  </si>
  <si>
    <t>Estudiantes que cumplen:</t>
  </si>
  <si>
    <t>Estudiantes que no cumplen:</t>
  </si>
  <si>
    <t>Asistencia promedio del grupo:</t>
  </si>
  <si>
    <t>Total de ausencias del grupo:</t>
  </si>
  <si>
    <t>Ejercicio 9: Presupuesto del hogar</t>
  </si>
  <si>
    <t>Una familia planeó un presupuesto mensual por categoría y luego anotó lo que realmente gastó. Calcula la diferencia (presupuesto − gasto), indica si la categoría está EXCEDIDA o DENTRO del presupuesto y qué porcentaje del gasto total representa cada una (necesitas primero el total gastado).</t>
  </si>
  <si>
    <t>Funciones sugeridas: SI, SUMA, división con referencia absoluta, formato de porcentaje</t>
  </si>
  <si>
    <t>Categoría</t>
  </si>
  <si>
    <t>Presupuesto</t>
  </si>
  <si>
    <t>Gasto real</t>
  </si>
  <si>
    <t>Diferencia</t>
  </si>
  <si>
    <t>% del gasto total</t>
  </si>
  <si>
    <t>Arriendo</t>
  </si>
  <si>
    <t>Alimentación</t>
  </si>
  <si>
    <t>Transporte</t>
  </si>
  <si>
    <t>Servicios</t>
  </si>
  <si>
    <t>Educación</t>
  </si>
  <si>
    <t>Salud</t>
  </si>
  <si>
    <t>Entretenimiento</t>
  </si>
  <si>
    <t>Ropa</t>
  </si>
  <si>
    <t>Ahorro</t>
  </si>
  <si>
    <t>Total presupuestado:</t>
  </si>
  <si>
    <t>Total gastado:</t>
  </si>
  <si>
    <t>Diferencia total:</t>
  </si>
  <si>
    <t>Categorías excedidas:</t>
  </si>
  <si>
    <t>Ejercicio 10: Tabla de posiciones</t>
  </si>
  <si>
    <t>En un torneo de fútbol cada equipo suma 3 puntos por partido ganado y 1 por empate. Calcula los partidos jugados, los puntos, la diferencia de goles y la posición de cada equipo en la tabla (el 1 es el que tiene más puntos).</t>
  </si>
  <si>
    <t>Funciones sugeridas: SUMA, JERARQUIA (o JERARQUIA.EQV), resta, INDICE + COINCIDIR (reto)</t>
  </si>
  <si>
    <t>Equipo</t>
  </si>
  <si>
    <t>Ganados</t>
  </si>
  <si>
    <t>Empatados</t>
  </si>
  <si>
    <t>Perdidos</t>
  </si>
  <si>
    <t>Goles a favor</t>
  </si>
  <si>
    <t>Goles en contra</t>
  </si>
  <si>
    <t>Partidos jugados</t>
  </si>
  <si>
    <t>Puntos</t>
  </si>
  <si>
    <t>Dif. goles</t>
  </si>
  <si>
    <t>Posición</t>
  </si>
  <si>
    <t>Leones</t>
  </si>
  <si>
    <t>Tigres</t>
  </si>
  <si>
    <t>Águilas</t>
  </si>
  <si>
    <t>Halcones</t>
  </si>
  <si>
    <t>Lobos</t>
  </si>
  <si>
    <t>Toros</t>
  </si>
  <si>
    <t>Pumas</t>
  </si>
  <si>
    <t>Cóndores</t>
  </si>
  <si>
    <t>Puntos del líder:</t>
  </si>
  <si>
    <t>Total de goles del torneo:</t>
  </si>
  <si>
    <t>Equipos con más de 15 puntos:</t>
  </si>
  <si>
    <t>Reto: nombre del equipo campeón: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</si>
</sst>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\$#,##0"/>
    <numFmt numFmtId="166" formatCode="\$#,##0;\-\$#,##0"/>
    <numFmt numFmtId="167" formatCode="0.0%"/>
    <numFmt numFmtId="168" formatCode="0;\-0"/>
  </numFmts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sz val="10"/>
      <name val="Arial"/>
    </font>
    <font>
      <b/>
      <sz val="10"/>
      <color rgb="FFFFFFFF"/>
      <name val="Arial"/>
    </font>
    <font>
      <u/>
      <sz val="10"/>
      <color rgb="FF0563C1"/>
      <name val="Arial"/>
    </font>
    <font>
      <b/>
      <sz val="10"/>
      <name val="Arial"/>
    </font>
    <font>
      <b/>
      <sz val="10"/>
      <color rgb="FF0000FF"/>
      <name val="Arial"/>
    </font>
    <font>
      <i/>
      <sz val="9"/>
      <color rgb="FF595959"/>
      <name val="Arial"/>
    </font>
    <font>
      <i/>
      <sz val="10"/>
      <color rgb="FF595959"/>
      <name val="Arial"/>
    </font>
    <font>
      <i/>
      <sz val="9"/>
      <color rgb="FF7F6000"/>
      <name val="Arial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0" fontId="2" fillId="3" borderId="1" xfId="0" applyFont="1" applyFill="1" applyBorder="1"/>
    <xf numFmtId="0" fontId="2" fillId="0" borderId="0" xfId="0" applyFont="1"/>
    <xf numFmtId="0" fontId="6" fillId="0" borderId="1" xfId="0" applyFont="1" applyBorder="1"/>
    <xf numFmtId="0" fontId="7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165" fontId="6" fillId="0" borderId="1" xfId="0" applyNumberFormat="1" applyFont="1" applyBorder="1"/>
    <xf numFmtId="9" fontId="6" fillId="0" borderId="1" xfId="0" applyNumberFormat="1" applyFont="1" applyBorder="1"/>
    <xf numFmtId="9" fontId="2" fillId="3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8" fontId="2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/>
    <xf numFmtId="0" fontId="8" fillId="0" borderId="0" xfId="0" applyFont="1"/>
    <xf numFmtId="0" fontId="9" fillId="0" borderId="0" xfId="0" applyFont="1"/>
    <xf numFmtId="164" fontId="0" fillId="0" borderId="0" xfId="0" applyNumberFormat="1"/>
    <xf numFmtId="0" fontId="2" fillId="3" borderId="1" xfId="0" applyNumberFormat="1" applyFont="1" applyFill="1" applyBorder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showGridLines="0" workbookViewId="0"/>
  </sheetViews>
  <sheetFormatPr baseColWidth="10" defaultColWidth="8.88671875" defaultRowHeight="14.4" x14ac:dyDescent="0.3"/>
  <cols>
    <col min="1" max="1" width="18" customWidth="1"/>
    <col min="2" max="2" width="30" customWidth="1"/>
    <col min="3" max="3" width="42" customWidth="1"/>
  </cols>
  <sheetData>
    <row r="1" spans="1:3" ht="17.399999999999999" x14ac:dyDescent="0.3">
      <c r="A1" s="1" t="s">
        <v>0</v>
      </c>
    </row>
    <row r="2" spans="1:3" ht="31.95" customHeight="1" x14ac:dyDescent="0.3">
      <c r="A2" s="29" t="s">
        <v>1</v>
      </c>
      <c r="B2" s="30"/>
      <c r="C2" s="30"/>
    </row>
    <row r="4" spans="1:3" x14ac:dyDescent="0.3">
      <c r="A4" s="2" t="s">
        <v>2</v>
      </c>
      <c r="B4" s="2" t="s">
        <v>3</v>
      </c>
      <c r="C4" s="2" t="s">
        <v>4</v>
      </c>
    </row>
    <row r="5" spans="1:3" x14ac:dyDescent="0.3">
      <c r="A5" s="3" t="s">
        <v>5</v>
      </c>
      <c r="B5" s="4" t="s">
        <v>6</v>
      </c>
      <c r="C5" s="4" t="s">
        <v>7</v>
      </c>
    </row>
    <row r="6" spans="1:3" x14ac:dyDescent="0.3">
      <c r="A6" s="3" t="s">
        <v>8</v>
      </c>
      <c r="B6" s="4" t="s">
        <v>9</v>
      </c>
      <c r="C6" s="4" t="s">
        <v>10</v>
      </c>
    </row>
    <row r="7" spans="1:3" x14ac:dyDescent="0.3">
      <c r="A7" s="3" t="s">
        <v>11</v>
      </c>
      <c r="B7" s="4" t="s">
        <v>12</v>
      </c>
      <c r="C7" s="4" t="s">
        <v>13</v>
      </c>
    </row>
    <row r="8" spans="1:3" x14ac:dyDescent="0.3">
      <c r="A8" s="3" t="s">
        <v>14</v>
      </c>
      <c r="B8" s="4" t="s">
        <v>15</v>
      </c>
      <c r="C8" s="4" t="s">
        <v>16</v>
      </c>
    </row>
    <row r="9" spans="1:3" x14ac:dyDescent="0.3">
      <c r="A9" s="3" t="s">
        <v>17</v>
      </c>
      <c r="B9" s="4" t="s">
        <v>18</v>
      </c>
      <c r="C9" s="4" t="s">
        <v>19</v>
      </c>
    </row>
    <row r="10" spans="1:3" x14ac:dyDescent="0.3">
      <c r="A10" s="3" t="s">
        <v>20</v>
      </c>
      <c r="B10" s="4" t="s">
        <v>21</v>
      </c>
      <c r="C10" s="4" t="s">
        <v>22</v>
      </c>
    </row>
    <row r="11" spans="1:3" x14ac:dyDescent="0.3">
      <c r="A11" s="3" t="s">
        <v>23</v>
      </c>
      <c r="B11" s="4" t="s">
        <v>24</v>
      </c>
      <c r="C11" s="4" t="s">
        <v>25</v>
      </c>
    </row>
    <row r="12" spans="1:3" x14ac:dyDescent="0.3">
      <c r="A12" s="3" t="s">
        <v>26</v>
      </c>
      <c r="B12" s="4" t="s">
        <v>27</v>
      </c>
      <c r="C12" s="4" t="s">
        <v>28</v>
      </c>
    </row>
    <row r="13" spans="1:3" x14ac:dyDescent="0.3">
      <c r="A13" s="3" t="s">
        <v>29</v>
      </c>
      <c r="B13" s="4" t="s">
        <v>30</v>
      </c>
      <c r="C13" s="4" t="s">
        <v>31</v>
      </c>
    </row>
    <row r="14" spans="1:3" x14ac:dyDescent="0.3">
      <c r="A14" s="3" t="s">
        <v>32</v>
      </c>
      <c r="B14" s="4" t="s">
        <v>33</v>
      </c>
      <c r="C14" s="4" t="s">
        <v>34</v>
      </c>
    </row>
    <row r="16" spans="1:3" x14ac:dyDescent="0.3">
      <c r="A16" s="5" t="s">
        <v>35</v>
      </c>
    </row>
    <row r="17" spans="1:2" x14ac:dyDescent="0.3">
      <c r="A17" s="6" t="s">
        <v>36</v>
      </c>
      <c r="B17" s="7" t="s">
        <v>37</v>
      </c>
    </row>
    <row r="18" spans="1:2" x14ac:dyDescent="0.3">
      <c r="A18" s="8" t="s">
        <v>38</v>
      </c>
      <c r="B18" s="7" t="s">
        <v>39</v>
      </c>
    </row>
    <row r="20" spans="1:2" x14ac:dyDescent="0.3">
      <c r="A20" s="9" t="s">
        <v>40</v>
      </c>
    </row>
  </sheetData>
  <mergeCells count="1">
    <mergeCell ref="A2:C2"/>
  </mergeCells>
  <hyperlinks>
    <hyperlink ref="A5" location="'1 Notas'!A1" display="1 Notas" xr:uid="{00000000-0004-0000-0000-000000000000}"/>
    <hyperlink ref="A6" location="'2 Ventas'!A1" display="2 Ventas" xr:uid="{00000000-0004-0000-0000-000001000000}"/>
    <hyperlink ref="A7" location="'3 Inventario'!A1" display="3 Inventario" xr:uid="{00000000-0004-0000-0000-000002000000}"/>
    <hyperlink ref="A8" location="'4 Nómina'!A1" display="4 Nómina" xr:uid="{00000000-0004-0000-0000-000003000000}"/>
    <hyperlink ref="A9" location="'5 Factura'!A1" display="5 Factura" xr:uid="{00000000-0004-0000-0000-000004000000}"/>
    <hyperlink ref="A10" location="'6 Descuentos'!A1" display="6 Descuentos" xr:uid="{00000000-0004-0000-0000-000005000000}"/>
    <hyperlink ref="A11" location="'7 Temperaturas'!A1" display="7 Temperaturas" xr:uid="{00000000-0004-0000-0000-000006000000}"/>
    <hyperlink ref="A12" location="'8 Asistencia'!A1" display="8 Asistencia" xr:uid="{00000000-0004-0000-0000-000007000000}"/>
    <hyperlink ref="A13" location="'9 Presupuesto'!A1" display="9 Presupuesto" xr:uid="{00000000-0004-0000-0000-000008000000}"/>
    <hyperlink ref="A14" location="'10 Liga'!A1" display="10 Liga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showGridLines="0" workbookViewId="0">
      <selection activeCell="B18" sqref="B18"/>
    </sheetView>
  </sheetViews>
  <sheetFormatPr baseColWidth="10" defaultColWidth="8.88671875" defaultRowHeight="14.4" x14ac:dyDescent="0.3"/>
  <cols>
    <col min="1" max="1" width="26" customWidth="1"/>
    <col min="7" max="7" width="11" customWidth="1"/>
    <col min="8" max="8" width="13" customWidth="1"/>
    <col min="9" max="9" width="14" customWidth="1"/>
    <col min="10" max="10" width="10" customWidth="1"/>
  </cols>
  <sheetData>
    <row r="1" spans="1:10" ht="17.399999999999999" x14ac:dyDescent="0.3">
      <c r="A1" s="1" t="s">
        <v>41</v>
      </c>
    </row>
    <row r="2" spans="1:10" ht="75" customHeight="1" x14ac:dyDescent="0.3">
      <c r="A2" s="29" t="s">
        <v>42</v>
      </c>
      <c r="B2" s="30"/>
      <c r="C2" s="30"/>
      <c r="D2" s="30"/>
      <c r="E2" s="30"/>
      <c r="F2" s="30"/>
      <c r="G2" s="30"/>
      <c r="H2" s="30"/>
      <c r="I2" s="30"/>
    </row>
    <row r="3" spans="1:10" x14ac:dyDescent="0.3">
      <c r="A3" s="31" t="s">
        <v>43</v>
      </c>
      <c r="B3" s="30"/>
      <c r="C3" s="30"/>
      <c r="D3" s="30"/>
      <c r="E3" s="30"/>
      <c r="F3" s="30"/>
      <c r="G3" s="30"/>
      <c r="H3" s="30"/>
      <c r="I3" s="30"/>
    </row>
    <row r="4" spans="1:10" x14ac:dyDescent="0.3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3">
      <c r="A6" s="10" t="s">
        <v>45</v>
      </c>
      <c r="B6" s="10" t="s">
        <v>46</v>
      </c>
      <c r="C6" s="10" t="s">
        <v>47</v>
      </c>
      <c r="D6" s="10" t="s">
        <v>48</v>
      </c>
      <c r="E6" s="10" t="s">
        <v>49</v>
      </c>
      <c r="F6" s="10" t="s">
        <v>50</v>
      </c>
      <c r="G6" s="10" t="s">
        <v>51</v>
      </c>
      <c r="H6" s="10" t="s">
        <v>52</v>
      </c>
      <c r="I6" s="11" t="s">
        <v>53</v>
      </c>
      <c r="J6" s="12">
        <v>70</v>
      </c>
    </row>
    <row r="7" spans="1:10" x14ac:dyDescent="0.3">
      <c r="A7" s="4" t="s">
        <v>54</v>
      </c>
      <c r="B7" s="13">
        <v>60</v>
      </c>
      <c r="C7" s="13">
        <v>100</v>
      </c>
      <c r="D7" s="13">
        <v>49</v>
      </c>
      <c r="E7" s="13">
        <v>65</v>
      </c>
      <c r="F7" s="13">
        <v>81</v>
      </c>
      <c r="G7" s="14">
        <f>AVERAGE(B7:F7)</f>
        <v>71</v>
      </c>
      <c r="H7" s="15" t="str">
        <f>IF(G7&lt;$J$6,"reprobado","aprobado")</f>
        <v>aprobado</v>
      </c>
      <c r="I7" s="33"/>
    </row>
    <row r="8" spans="1:10" x14ac:dyDescent="0.3">
      <c r="A8" s="16" t="s">
        <v>55</v>
      </c>
      <c r="B8" s="17">
        <v>43</v>
      </c>
      <c r="C8" s="17">
        <v>44</v>
      </c>
      <c r="D8" s="17">
        <v>92</v>
      </c>
      <c r="E8" s="17">
        <v>74</v>
      </c>
      <c r="F8" s="17">
        <v>46</v>
      </c>
      <c r="G8" s="14">
        <f t="shared" ref="G8:G16" si="0">AVERAGE(B8:F8)</f>
        <v>59.8</v>
      </c>
      <c r="H8" s="15" t="str">
        <f t="shared" ref="H8:H16" si="1">IF(G8&lt;$J$6,"reprobado","aprobado")</f>
        <v>reprobado</v>
      </c>
    </row>
    <row r="9" spans="1:10" x14ac:dyDescent="0.3">
      <c r="A9" s="4" t="s">
        <v>56</v>
      </c>
      <c r="B9" s="13">
        <v>63</v>
      </c>
      <c r="C9" s="13">
        <v>77</v>
      </c>
      <c r="D9" s="13">
        <v>43</v>
      </c>
      <c r="E9" s="13">
        <v>98</v>
      </c>
      <c r="F9" s="13">
        <v>72</v>
      </c>
      <c r="G9" s="14">
        <f t="shared" si="0"/>
        <v>70.599999999999994</v>
      </c>
      <c r="H9" s="15" t="str">
        <f t="shared" si="1"/>
        <v>aprobado</v>
      </c>
    </row>
    <row r="10" spans="1:10" x14ac:dyDescent="0.3">
      <c r="A10" s="16" t="s">
        <v>57</v>
      </c>
      <c r="B10" s="17">
        <v>53</v>
      </c>
      <c r="C10" s="17">
        <v>42</v>
      </c>
      <c r="D10" s="17">
        <v>45</v>
      </c>
      <c r="E10" s="17">
        <v>67</v>
      </c>
      <c r="F10" s="17">
        <v>66</v>
      </c>
      <c r="G10" s="14">
        <f t="shared" si="0"/>
        <v>54.6</v>
      </c>
      <c r="H10" s="15" t="str">
        <f t="shared" si="1"/>
        <v>reprobado</v>
      </c>
    </row>
    <row r="11" spans="1:10" x14ac:dyDescent="0.3">
      <c r="A11" s="4" t="s">
        <v>58</v>
      </c>
      <c r="B11" s="13">
        <v>44</v>
      </c>
      <c r="C11" s="13">
        <v>55</v>
      </c>
      <c r="D11" s="13">
        <v>45</v>
      </c>
      <c r="E11" s="13">
        <v>75</v>
      </c>
      <c r="F11" s="13">
        <v>67</v>
      </c>
      <c r="G11" s="14">
        <f t="shared" si="0"/>
        <v>57.2</v>
      </c>
      <c r="H11" s="15" t="str">
        <f t="shared" si="1"/>
        <v>reprobado</v>
      </c>
    </row>
    <row r="12" spans="1:10" x14ac:dyDescent="0.3">
      <c r="A12" s="16" t="s">
        <v>59</v>
      </c>
      <c r="B12" s="17">
        <v>43</v>
      </c>
      <c r="C12" s="17">
        <v>92</v>
      </c>
      <c r="D12" s="17">
        <v>76</v>
      </c>
      <c r="E12" s="17">
        <v>47</v>
      </c>
      <c r="F12" s="17">
        <v>100</v>
      </c>
      <c r="G12" s="14">
        <f t="shared" si="0"/>
        <v>71.599999999999994</v>
      </c>
      <c r="H12" s="15" t="str">
        <f t="shared" si="1"/>
        <v>aprobado</v>
      </c>
    </row>
    <row r="13" spans="1:10" x14ac:dyDescent="0.3">
      <c r="A13" s="4" t="s">
        <v>60</v>
      </c>
      <c r="B13" s="13">
        <v>54</v>
      </c>
      <c r="C13" s="13">
        <v>80</v>
      </c>
      <c r="D13" s="13">
        <v>80</v>
      </c>
      <c r="E13" s="13">
        <v>77</v>
      </c>
      <c r="F13" s="13">
        <v>100</v>
      </c>
      <c r="G13" s="14">
        <f t="shared" si="0"/>
        <v>78.2</v>
      </c>
      <c r="H13" s="15" t="str">
        <f t="shared" si="1"/>
        <v>aprobado</v>
      </c>
    </row>
    <row r="14" spans="1:10" x14ac:dyDescent="0.3">
      <c r="A14" s="16" t="s">
        <v>61</v>
      </c>
      <c r="B14" s="17">
        <v>43</v>
      </c>
      <c r="C14" s="17">
        <v>76</v>
      </c>
      <c r="D14" s="17">
        <v>77</v>
      </c>
      <c r="E14" s="17">
        <v>65</v>
      </c>
      <c r="F14" s="17">
        <v>43</v>
      </c>
      <c r="G14" s="14">
        <f t="shared" si="0"/>
        <v>60.8</v>
      </c>
      <c r="H14" s="15" t="str">
        <f t="shared" si="1"/>
        <v>reprobado</v>
      </c>
    </row>
    <row r="15" spans="1:10" x14ac:dyDescent="0.3">
      <c r="A15" s="4" t="s">
        <v>62</v>
      </c>
      <c r="B15" s="13">
        <v>54</v>
      </c>
      <c r="C15" s="13">
        <v>42</v>
      </c>
      <c r="D15" s="13">
        <v>75</v>
      </c>
      <c r="E15" s="13">
        <v>94</v>
      </c>
      <c r="F15" s="13">
        <v>48</v>
      </c>
      <c r="G15" s="14">
        <f t="shared" si="0"/>
        <v>62.6</v>
      </c>
      <c r="H15" s="15" t="str">
        <f t="shared" si="1"/>
        <v>reprobado</v>
      </c>
    </row>
    <row r="16" spans="1:10" x14ac:dyDescent="0.3">
      <c r="A16" s="16" t="s">
        <v>63</v>
      </c>
      <c r="B16" s="17">
        <v>58</v>
      </c>
      <c r="C16" s="17">
        <v>66</v>
      </c>
      <c r="D16" s="17">
        <v>49</v>
      </c>
      <c r="E16" s="17">
        <v>74</v>
      </c>
      <c r="F16" s="17">
        <v>47</v>
      </c>
      <c r="G16" s="14">
        <f t="shared" si="0"/>
        <v>58.8</v>
      </c>
      <c r="H16" s="15" t="str">
        <f t="shared" si="1"/>
        <v>reprobado</v>
      </c>
    </row>
    <row r="18" spans="1:2" x14ac:dyDescent="0.3">
      <c r="A18" s="5" t="s">
        <v>64</v>
      </c>
      <c r="B18" s="15">
        <f>COUNTIF(H7:H16,"aprobado")</f>
        <v>4</v>
      </c>
    </row>
    <row r="19" spans="1:2" x14ac:dyDescent="0.3">
      <c r="A19" s="5" t="s">
        <v>65</v>
      </c>
      <c r="B19" s="15">
        <f>COUNTIF(H7:H16,"reprobado")</f>
        <v>6</v>
      </c>
    </row>
    <row r="20" spans="1:2" x14ac:dyDescent="0.3">
      <c r="A20" s="5" t="s">
        <v>66</v>
      </c>
      <c r="B20" s="14">
        <f>AVERAGE(G7:G16)</f>
        <v>64.52</v>
      </c>
    </row>
    <row r="21" spans="1:2" x14ac:dyDescent="0.3">
      <c r="A21" s="5" t="s">
        <v>67</v>
      </c>
      <c r="B21" s="14">
        <f>MAX(G7:G16)</f>
        <v>78.2</v>
      </c>
    </row>
    <row r="22" spans="1:2" x14ac:dyDescent="0.3">
      <c r="A22" s="5" t="s">
        <v>68</v>
      </c>
      <c r="B22" s="14">
        <f>MIN(G7:G16)</f>
        <v>54.6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workbookViewId="0">
      <selection activeCell="H11" sqref="H11"/>
    </sheetView>
  </sheetViews>
  <sheetFormatPr baseColWidth="10" defaultColWidth="8.88671875" defaultRowHeight="14.4" x14ac:dyDescent="0.3"/>
  <cols>
    <col min="1" max="1" width="26" customWidth="1"/>
    <col min="2" max="5" width="13" customWidth="1"/>
    <col min="6" max="6" width="14" customWidth="1"/>
    <col min="7" max="7" width="17" customWidth="1"/>
    <col min="8" max="8" width="13" customWidth="1"/>
    <col min="9" max="9" width="12" customWidth="1"/>
    <col min="10" max="10" width="10" customWidth="1"/>
  </cols>
  <sheetData>
    <row r="1" spans="1:10" ht="17.399999999999999" x14ac:dyDescent="0.3">
      <c r="A1" s="1" t="s">
        <v>69</v>
      </c>
    </row>
    <row r="2" spans="1:10" ht="60" customHeight="1" x14ac:dyDescent="0.3">
      <c r="A2" s="29" t="s">
        <v>70</v>
      </c>
      <c r="B2" s="30"/>
      <c r="C2" s="30"/>
      <c r="D2" s="30"/>
      <c r="E2" s="30"/>
      <c r="F2" s="30"/>
      <c r="G2" s="30"/>
      <c r="H2" s="30"/>
      <c r="I2" s="30"/>
    </row>
    <row r="3" spans="1:10" x14ac:dyDescent="0.3">
      <c r="A3" s="31" t="s">
        <v>71</v>
      </c>
      <c r="B3" s="30"/>
      <c r="C3" s="30"/>
      <c r="D3" s="30"/>
      <c r="E3" s="30"/>
      <c r="F3" s="30"/>
      <c r="G3" s="30"/>
      <c r="H3" s="30"/>
      <c r="I3" s="30"/>
    </row>
    <row r="4" spans="1:10" x14ac:dyDescent="0.3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3">
      <c r="A6" s="10" t="s">
        <v>72</v>
      </c>
      <c r="B6" s="10" t="s">
        <v>73</v>
      </c>
      <c r="C6" s="10" t="s">
        <v>74</v>
      </c>
      <c r="D6" s="10" t="s">
        <v>75</v>
      </c>
      <c r="E6" s="10" t="s">
        <v>76</v>
      </c>
      <c r="F6" s="10" t="s">
        <v>77</v>
      </c>
      <c r="G6" s="10" t="s">
        <v>78</v>
      </c>
      <c r="H6" s="10" t="s">
        <v>79</v>
      </c>
      <c r="I6" s="11" t="s">
        <v>80</v>
      </c>
      <c r="J6" s="18">
        <v>0.05</v>
      </c>
    </row>
    <row r="7" spans="1:10" x14ac:dyDescent="0.3">
      <c r="A7" s="4" t="s">
        <v>81</v>
      </c>
      <c r="B7" s="13" t="s">
        <v>82</v>
      </c>
      <c r="C7" s="19">
        <v>3138000</v>
      </c>
      <c r="D7" s="19">
        <v>2063000</v>
      </c>
      <c r="E7" s="19">
        <v>3094000</v>
      </c>
      <c r="F7" s="20">
        <f t="shared" ref="F7:F14" si="0">SUM(C7:E7)</f>
        <v>8295000</v>
      </c>
      <c r="G7" s="20">
        <f>AVERAGE(C7:E7)</f>
        <v>2765000</v>
      </c>
      <c r="H7" s="20">
        <f>F7*$J$6</f>
        <v>414750</v>
      </c>
    </row>
    <row r="8" spans="1:10" x14ac:dyDescent="0.3">
      <c r="A8" s="16" t="s">
        <v>83</v>
      </c>
      <c r="B8" s="17" t="s">
        <v>84</v>
      </c>
      <c r="C8" s="21">
        <v>1540000</v>
      </c>
      <c r="D8" s="21">
        <v>1222000</v>
      </c>
      <c r="E8" s="21">
        <v>3182000</v>
      </c>
      <c r="F8" s="20">
        <f t="shared" si="0"/>
        <v>5944000</v>
      </c>
      <c r="G8" s="20">
        <f t="shared" ref="G8:G14" si="1">AVERAGE(C8:E8)</f>
        <v>1981333.3333333333</v>
      </c>
      <c r="H8" s="20">
        <f t="shared" ref="H8:H14" si="2">F8*$J$6</f>
        <v>297200</v>
      </c>
    </row>
    <row r="9" spans="1:10" x14ac:dyDescent="0.3">
      <c r="A9" s="4" t="s">
        <v>85</v>
      </c>
      <c r="B9" s="13" t="s">
        <v>86</v>
      </c>
      <c r="C9" s="19">
        <v>3139000</v>
      </c>
      <c r="D9" s="19">
        <v>3416000</v>
      </c>
      <c r="E9" s="19">
        <v>1569000</v>
      </c>
      <c r="F9" s="20">
        <f t="shared" si="0"/>
        <v>8124000</v>
      </c>
      <c r="G9" s="20">
        <f t="shared" si="1"/>
        <v>2708000</v>
      </c>
      <c r="H9" s="20">
        <f t="shared" si="2"/>
        <v>406200</v>
      </c>
    </row>
    <row r="10" spans="1:10" x14ac:dyDescent="0.3">
      <c r="A10" s="16" t="s">
        <v>87</v>
      </c>
      <c r="B10" s="17" t="s">
        <v>82</v>
      </c>
      <c r="C10" s="21">
        <v>2325000</v>
      </c>
      <c r="D10" s="21">
        <v>1199000</v>
      </c>
      <c r="E10" s="21">
        <v>3043000</v>
      </c>
      <c r="F10" s="20">
        <f t="shared" si="0"/>
        <v>6567000</v>
      </c>
      <c r="G10" s="20">
        <f t="shared" si="1"/>
        <v>2189000</v>
      </c>
      <c r="H10" s="20">
        <f t="shared" si="2"/>
        <v>328350</v>
      </c>
    </row>
    <row r="11" spans="1:10" x14ac:dyDescent="0.3">
      <c r="A11" s="4" t="s">
        <v>88</v>
      </c>
      <c r="B11" s="13" t="s">
        <v>84</v>
      </c>
      <c r="C11" s="19">
        <v>1057000</v>
      </c>
      <c r="D11" s="19">
        <v>3111000</v>
      </c>
      <c r="E11" s="19">
        <v>1044000</v>
      </c>
      <c r="F11" s="20">
        <f t="shared" si="0"/>
        <v>5212000</v>
      </c>
      <c r="G11" s="20">
        <f t="shared" si="1"/>
        <v>1737333.3333333333</v>
      </c>
      <c r="H11" s="20">
        <f t="shared" si="2"/>
        <v>260600</v>
      </c>
    </row>
    <row r="12" spans="1:10" x14ac:dyDescent="0.3">
      <c r="A12" s="16" t="s">
        <v>89</v>
      </c>
      <c r="B12" s="17" t="s">
        <v>86</v>
      </c>
      <c r="C12" s="21">
        <v>3335000</v>
      </c>
      <c r="D12" s="21">
        <v>1643000</v>
      </c>
      <c r="E12" s="21">
        <v>2833000</v>
      </c>
      <c r="F12" s="20">
        <f t="shared" si="0"/>
        <v>7811000</v>
      </c>
      <c r="G12" s="20">
        <f t="shared" si="1"/>
        <v>2603666.6666666665</v>
      </c>
      <c r="H12" s="20">
        <f t="shared" si="2"/>
        <v>390550</v>
      </c>
    </row>
    <row r="13" spans="1:10" x14ac:dyDescent="0.3">
      <c r="A13" s="4" t="s">
        <v>90</v>
      </c>
      <c r="B13" s="13" t="s">
        <v>82</v>
      </c>
      <c r="C13" s="19">
        <v>2977000</v>
      </c>
      <c r="D13" s="19">
        <v>2551000</v>
      </c>
      <c r="E13" s="19">
        <v>2086000</v>
      </c>
      <c r="F13" s="20">
        <f t="shared" si="0"/>
        <v>7614000</v>
      </c>
      <c r="G13" s="20">
        <f t="shared" si="1"/>
        <v>2538000</v>
      </c>
      <c r="H13" s="20">
        <f t="shared" si="2"/>
        <v>380700</v>
      </c>
    </row>
    <row r="14" spans="1:10" x14ac:dyDescent="0.3">
      <c r="A14" s="16" t="s">
        <v>91</v>
      </c>
      <c r="B14" s="17" t="s">
        <v>84</v>
      </c>
      <c r="C14" s="21">
        <v>2707000</v>
      </c>
      <c r="D14" s="21">
        <v>3198000</v>
      </c>
      <c r="E14" s="21">
        <v>2656000</v>
      </c>
      <c r="F14" s="20">
        <f t="shared" si="0"/>
        <v>8561000</v>
      </c>
      <c r="G14" s="20">
        <f t="shared" si="1"/>
        <v>2853666.6666666665</v>
      </c>
      <c r="H14" s="20">
        <f t="shared" si="2"/>
        <v>428050</v>
      </c>
    </row>
    <row r="16" spans="1:10" x14ac:dyDescent="0.3">
      <c r="A16" s="5" t="s">
        <v>92</v>
      </c>
      <c r="B16" s="20">
        <f>F7+F13</f>
        <v>15909000</v>
      </c>
    </row>
    <row r="17" spans="1:2" x14ac:dyDescent="0.3">
      <c r="A17" s="5" t="s">
        <v>93</v>
      </c>
      <c r="B17" s="20">
        <f>F8+F11+F14</f>
        <v>19717000</v>
      </c>
    </row>
    <row r="18" spans="1:2" x14ac:dyDescent="0.3">
      <c r="A18" s="5" t="s">
        <v>94</v>
      </c>
      <c r="B18" s="20">
        <f>F9+F12</f>
        <v>15935000</v>
      </c>
    </row>
    <row r="19" spans="1:2" x14ac:dyDescent="0.3">
      <c r="A19" s="5" t="s">
        <v>95</v>
      </c>
      <c r="B19" s="20">
        <f>SUM(F7:F14)</f>
        <v>58128000</v>
      </c>
    </row>
    <row r="20" spans="1:2" x14ac:dyDescent="0.3">
      <c r="A20" s="5" t="s">
        <v>96</v>
      </c>
      <c r="B20" s="20">
        <f>MAX(C7:E14)</f>
        <v>3416000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showGridLines="0" workbookViewId="0">
      <selection activeCell="E7" sqref="E7"/>
    </sheetView>
  </sheetViews>
  <sheetFormatPr baseColWidth="10" defaultColWidth="8.88671875" defaultRowHeight="14.4" x14ac:dyDescent="0.3"/>
  <cols>
    <col min="1" max="1" width="28" customWidth="1"/>
    <col min="2" max="2" width="11" customWidth="1"/>
    <col min="3" max="3" width="13" customWidth="1"/>
    <col min="4" max="4" width="15" customWidth="1"/>
    <col min="5" max="5" width="13" customWidth="1"/>
    <col min="6" max="6" width="11" customWidth="1"/>
  </cols>
  <sheetData>
    <row r="1" spans="1:6" ht="17.399999999999999" x14ac:dyDescent="0.3">
      <c r="A1" s="1" t="s">
        <v>97</v>
      </c>
    </row>
    <row r="2" spans="1:6" ht="75" customHeight="1" x14ac:dyDescent="0.3">
      <c r="A2" s="29" t="s">
        <v>98</v>
      </c>
      <c r="B2" s="30"/>
      <c r="C2" s="30"/>
      <c r="D2" s="30"/>
      <c r="E2" s="30"/>
      <c r="F2" s="30"/>
    </row>
    <row r="3" spans="1:6" x14ac:dyDescent="0.3">
      <c r="A3" s="31" t="s">
        <v>99</v>
      </c>
      <c r="B3" s="30"/>
      <c r="C3" s="30"/>
      <c r="D3" s="30"/>
      <c r="E3" s="30"/>
      <c r="F3" s="30"/>
    </row>
    <row r="4" spans="1:6" x14ac:dyDescent="0.3">
      <c r="A4" s="32" t="s">
        <v>44</v>
      </c>
      <c r="B4" s="30"/>
      <c r="C4" s="30"/>
      <c r="D4" s="30"/>
      <c r="E4" s="30"/>
      <c r="F4" s="30"/>
    </row>
    <row r="6" spans="1:6" x14ac:dyDescent="0.3">
      <c r="A6" s="10" t="s">
        <v>100</v>
      </c>
      <c r="B6" s="10" t="s">
        <v>101</v>
      </c>
      <c r="C6" s="10" t="s">
        <v>102</v>
      </c>
      <c r="D6" s="10" t="s">
        <v>103</v>
      </c>
      <c r="E6" s="10" t="s">
        <v>104</v>
      </c>
      <c r="F6" s="10" t="s">
        <v>105</v>
      </c>
    </row>
    <row r="7" spans="1:6" x14ac:dyDescent="0.3">
      <c r="A7" s="4" t="s">
        <v>106</v>
      </c>
      <c r="B7" s="13">
        <v>23</v>
      </c>
      <c r="C7" s="13">
        <v>20</v>
      </c>
      <c r="D7" s="19">
        <v>500</v>
      </c>
      <c r="E7" s="20">
        <f>B7*D7</f>
        <v>11500</v>
      </c>
      <c r="F7" s="15" t="str">
        <f>IF(B7&lt;C7,"reponer","ok")</f>
        <v>ok</v>
      </c>
    </row>
    <row r="8" spans="1:6" x14ac:dyDescent="0.3">
      <c r="A8" s="16" t="s">
        <v>107</v>
      </c>
      <c r="B8" s="17">
        <v>50</v>
      </c>
      <c r="C8" s="17">
        <v>15</v>
      </c>
      <c r="D8" s="21">
        <v>500</v>
      </c>
      <c r="E8" s="20">
        <f t="shared" ref="E8:E16" si="0">B8*D8</f>
        <v>25000</v>
      </c>
      <c r="F8" s="15" t="str">
        <f t="shared" ref="F8:F16" si="1">IF(B8&lt;C8,"reponer","ok")</f>
        <v>ok</v>
      </c>
    </row>
    <row r="9" spans="1:6" x14ac:dyDescent="0.3">
      <c r="A9" s="4" t="s">
        <v>108</v>
      </c>
      <c r="B9" s="13">
        <v>5</v>
      </c>
      <c r="C9" s="13">
        <v>20</v>
      </c>
      <c r="D9" s="19">
        <v>6000</v>
      </c>
      <c r="E9" s="20">
        <f t="shared" si="0"/>
        <v>30000</v>
      </c>
      <c r="F9" s="15" t="str">
        <f t="shared" si="1"/>
        <v>reponer</v>
      </c>
    </row>
    <row r="10" spans="1:6" x14ac:dyDescent="0.3">
      <c r="A10" s="16" t="s">
        <v>109</v>
      </c>
      <c r="B10" s="17">
        <v>56</v>
      </c>
      <c r="C10" s="17">
        <v>20</v>
      </c>
      <c r="D10" s="21">
        <v>6000</v>
      </c>
      <c r="E10" s="20">
        <f t="shared" si="0"/>
        <v>336000</v>
      </c>
      <c r="F10" s="15" t="str">
        <f t="shared" si="1"/>
        <v>ok</v>
      </c>
    </row>
    <row r="11" spans="1:6" x14ac:dyDescent="0.3">
      <c r="A11" s="4" t="s">
        <v>110</v>
      </c>
      <c r="B11" s="13">
        <v>18</v>
      </c>
      <c r="C11" s="13">
        <v>10</v>
      </c>
      <c r="D11" s="19">
        <v>800</v>
      </c>
      <c r="E11" s="20">
        <f t="shared" si="0"/>
        <v>14400</v>
      </c>
      <c r="F11" s="15" t="str">
        <f t="shared" si="1"/>
        <v>ok</v>
      </c>
    </row>
    <row r="12" spans="1:6" x14ac:dyDescent="0.3">
      <c r="A12" s="16" t="s">
        <v>111</v>
      </c>
      <c r="B12" s="17">
        <v>32</v>
      </c>
      <c r="C12" s="17">
        <v>25</v>
      </c>
      <c r="D12" s="21">
        <v>1200</v>
      </c>
      <c r="E12" s="20">
        <f t="shared" si="0"/>
        <v>38400</v>
      </c>
      <c r="F12" s="15" t="str">
        <f t="shared" si="1"/>
        <v>ok</v>
      </c>
    </row>
    <row r="13" spans="1:6" x14ac:dyDescent="0.3">
      <c r="A13" s="4" t="s">
        <v>112</v>
      </c>
      <c r="B13" s="13">
        <v>48</v>
      </c>
      <c r="C13" s="13">
        <v>20</v>
      </c>
      <c r="D13" s="19">
        <v>1200</v>
      </c>
      <c r="E13" s="20">
        <f t="shared" si="0"/>
        <v>57600</v>
      </c>
      <c r="F13" s="15" t="str">
        <f t="shared" si="1"/>
        <v>ok</v>
      </c>
    </row>
    <row r="14" spans="1:6" x14ac:dyDescent="0.3">
      <c r="A14" s="16" t="s">
        <v>113</v>
      </c>
      <c r="B14" s="17">
        <v>59</v>
      </c>
      <c r="C14" s="17">
        <v>25</v>
      </c>
      <c r="D14" s="21">
        <v>4000</v>
      </c>
      <c r="E14" s="20">
        <f t="shared" si="0"/>
        <v>236000</v>
      </c>
      <c r="F14" s="15" t="str">
        <f t="shared" si="1"/>
        <v>ok</v>
      </c>
    </row>
    <row r="15" spans="1:6" x14ac:dyDescent="0.3">
      <c r="A15" s="4" t="s">
        <v>114</v>
      </c>
      <c r="B15" s="13">
        <v>2</v>
      </c>
      <c r="C15" s="13">
        <v>10</v>
      </c>
      <c r="D15" s="19">
        <v>3500</v>
      </c>
      <c r="E15" s="20">
        <f t="shared" si="0"/>
        <v>7000</v>
      </c>
      <c r="F15" s="15" t="str">
        <f t="shared" si="1"/>
        <v>reponer</v>
      </c>
    </row>
    <row r="16" spans="1:6" x14ac:dyDescent="0.3">
      <c r="A16" s="16" t="s">
        <v>115</v>
      </c>
      <c r="B16" s="17">
        <v>21</v>
      </c>
      <c r="C16" s="17">
        <v>20</v>
      </c>
      <c r="D16" s="21">
        <v>6000</v>
      </c>
      <c r="E16" s="20">
        <f t="shared" si="0"/>
        <v>126000</v>
      </c>
      <c r="F16" s="15" t="str">
        <f t="shared" si="1"/>
        <v>ok</v>
      </c>
    </row>
    <row r="18" spans="1:2" x14ac:dyDescent="0.3">
      <c r="A18" s="5" t="s">
        <v>116</v>
      </c>
      <c r="B18" s="20">
        <f>SUM(E7:E16)</f>
        <v>881900</v>
      </c>
    </row>
    <row r="19" spans="1:2" x14ac:dyDescent="0.3">
      <c r="A19" s="5" t="s">
        <v>117</v>
      </c>
      <c r="B19" s="15">
        <f>COUNTIF(F7:F16,"reponer")</f>
        <v>2</v>
      </c>
    </row>
    <row r="20" spans="1:2" x14ac:dyDescent="0.3">
      <c r="A20" s="5" t="s">
        <v>118</v>
      </c>
      <c r="B20" s="15">
        <f>SUM(B7:B16)</f>
        <v>314</v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showGridLines="0" workbookViewId="0">
      <selection activeCell="F13" sqref="F13"/>
    </sheetView>
  </sheetViews>
  <sheetFormatPr baseColWidth="10" defaultColWidth="8.88671875" defaultRowHeight="14.4" x14ac:dyDescent="0.3"/>
  <cols>
    <col min="1" max="1" width="26" customWidth="1"/>
    <col min="2" max="2" width="16" customWidth="1"/>
    <col min="3" max="4" width="14" customWidth="1"/>
    <col min="5" max="5" width="12" customWidth="1"/>
    <col min="6" max="6" width="13" customWidth="1"/>
    <col min="9" max="9" width="14" customWidth="1"/>
    <col min="10" max="10" width="9" customWidth="1"/>
  </cols>
  <sheetData>
    <row r="1" spans="1:10" ht="17.399999999999999" x14ac:dyDescent="0.3">
      <c r="A1" s="1" t="s">
        <v>119</v>
      </c>
    </row>
    <row r="2" spans="1:10" ht="75" customHeight="1" x14ac:dyDescent="0.3">
      <c r="A2" s="29" t="s">
        <v>120</v>
      </c>
      <c r="B2" s="30"/>
      <c r="C2" s="30"/>
      <c r="D2" s="30"/>
      <c r="E2" s="30"/>
      <c r="F2" s="30"/>
      <c r="G2" s="30"/>
      <c r="H2" s="30"/>
      <c r="I2" s="30"/>
    </row>
    <row r="3" spans="1:10" x14ac:dyDescent="0.3">
      <c r="A3" s="31" t="s">
        <v>121</v>
      </c>
      <c r="B3" s="30"/>
      <c r="C3" s="30"/>
      <c r="D3" s="30"/>
      <c r="E3" s="30"/>
      <c r="F3" s="30"/>
      <c r="G3" s="30"/>
      <c r="H3" s="30"/>
      <c r="I3" s="30"/>
    </row>
    <row r="4" spans="1:10" x14ac:dyDescent="0.3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3">
      <c r="A6" s="10" t="s">
        <v>122</v>
      </c>
      <c r="B6" s="10" t="s">
        <v>123</v>
      </c>
      <c r="C6" s="10" t="s">
        <v>124</v>
      </c>
      <c r="D6" s="10" t="s">
        <v>125</v>
      </c>
      <c r="E6" s="10" t="s">
        <v>126</v>
      </c>
      <c r="F6" s="10" t="s">
        <v>127</v>
      </c>
      <c r="I6" s="11" t="s">
        <v>128</v>
      </c>
      <c r="J6" s="18">
        <v>0.5</v>
      </c>
    </row>
    <row r="7" spans="1:10" x14ac:dyDescent="0.3">
      <c r="A7" s="4" t="s">
        <v>129</v>
      </c>
      <c r="B7" s="13">
        <v>36</v>
      </c>
      <c r="C7" s="19">
        <v>12000</v>
      </c>
      <c r="D7" s="34">
        <f>IF(B7&gt;=40,"",B7)</f>
        <v>36</v>
      </c>
      <c r="E7" s="15">
        <f>IF(B7&gt;40, B7-40, 0)</f>
        <v>0</v>
      </c>
      <c r="F7" s="20">
        <f>B7*C7</f>
        <v>432000</v>
      </c>
    </row>
    <row r="8" spans="1:10" x14ac:dyDescent="0.3">
      <c r="A8" s="16" t="s">
        <v>130</v>
      </c>
      <c r="B8" s="17">
        <v>38</v>
      </c>
      <c r="C8" s="21">
        <v>18000</v>
      </c>
      <c r="D8" s="34">
        <f t="shared" ref="D8:D14" si="0">IF(B8&gt;=40,"",B8)</f>
        <v>38</v>
      </c>
      <c r="E8" s="15">
        <f t="shared" ref="E8:E14" si="1">IF(B8&gt;40, B8-40, 0)</f>
        <v>0</v>
      </c>
      <c r="F8" s="20">
        <f>B8*C8</f>
        <v>684000</v>
      </c>
    </row>
    <row r="9" spans="1:10" x14ac:dyDescent="0.3">
      <c r="A9" s="4" t="s">
        <v>131</v>
      </c>
      <c r="B9" s="13">
        <v>36</v>
      </c>
      <c r="C9" s="19">
        <v>12000</v>
      </c>
      <c r="D9" s="34">
        <f t="shared" si="0"/>
        <v>36</v>
      </c>
      <c r="E9" s="15">
        <f t="shared" si="1"/>
        <v>0</v>
      </c>
      <c r="F9" s="20">
        <f t="shared" ref="F8:F14" si="2">B9*C9</f>
        <v>432000</v>
      </c>
    </row>
    <row r="10" spans="1:10" x14ac:dyDescent="0.3">
      <c r="A10" s="16" t="s">
        <v>132</v>
      </c>
      <c r="B10" s="17">
        <v>32</v>
      </c>
      <c r="C10" s="21">
        <v>18000</v>
      </c>
      <c r="D10" s="34">
        <f t="shared" si="0"/>
        <v>32</v>
      </c>
      <c r="E10" s="15">
        <f t="shared" si="1"/>
        <v>0</v>
      </c>
      <c r="F10" s="20">
        <f t="shared" si="2"/>
        <v>576000</v>
      </c>
    </row>
    <row r="11" spans="1:10" x14ac:dyDescent="0.3">
      <c r="A11" s="4" t="s">
        <v>133</v>
      </c>
      <c r="B11" s="13">
        <v>36</v>
      </c>
      <c r="C11" s="19">
        <v>18000</v>
      </c>
      <c r="D11" s="34">
        <f t="shared" si="0"/>
        <v>36</v>
      </c>
      <c r="E11" s="15">
        <f t="shared" si="1"/>
        <v>0</v>
      </c>
      <c r="F11" s="20">
        <f t="shared" si="2"/>
        <v>648000</v>
      </c>
    </row>
    <row r="12" spans="1:10" x14ac:dyDescent="0.3">
      <c r="A12" s="16" t="s">
        <v>134</v>
      </c>
      <c r="B12" s="17">
        <v>50</v>
      </c>
      <c r="C12" s="21">
        <v>18000</v>
      </c>
      <c r="D12" s="34" t="str">
        <f>IF(B12&gt;=40,"40")</f>
        <v>40</v>
      </c>
      <c r="E12" s="15">
        <f t="shared" si="1"/>
        <v>10</v>
      </c>
      <c r="F12" s="20">
        <f>(C12*D12)+(C12*1.5*E12)</f>
        <v>990000</v>
      </c>
    </row>
    <row r="13" spans="1:10" x14ac:dyDescent="0.3">
      <c r="A13" s="4" t="s">
        <v>135</v>
      </c>
      <c r="B13" s="13">
        <v>32</v>
      </c>
      <c r="C13" s="19">
        <v>20000</v>
      </c>
      <c r="D13" s="34">
        <f t="shared" si="0"/>
        <v>32</v>
      </c>
      <c r="E13" s="15">
        <f t="shared" si="1"/>
        <v>0</v>
      </c>
      <c r="F13" s="20">
        <f t="shared" si="2"/>
        <v>640000</v>
      </c>
    </row>
    <row r="14" spans="1:10" x14ac:dyDescent="0.3">
      <c r="A14" s="16" t="s">
        <v>136</v>
      </c>
      <c r="B14" s="17">
        <v>48</v>
      </c>
      <c r="C14" s="21">
        <v>15000</v>
      </c>
      <c r="D14" s="34" t="str">
        <f>IF(B12&gt;=40,"40")</f>
        <v>40</v>
      </c>
      <c r="E14" s="15">
        <f t="shared" si="1"/>
        <v>8</v>
      </c>
      <c r="F14" s="20">
        <f>(C14*D14)+(C14*1.5*E14)</f>
        <v>780000</v>
      </c>
    </row>
    <row r="16" spans="1:10" x14ac:dyDescent="0.3">
      <c r="A16" s="5" t="s">
        <v>137</v>
      </c>
      <c r="B16" s="20">
        <f>SUM(F7:F14)</f>
        <v>5182000</v>
      </c>
    </row>
    <row r="17" spans="1:2" x14ac:dyDescent="0.3">
      <c r="A17" s="5" t="s">
        <v>138</v>
      </c>
      <c r="B17" s="15">
        <f>COUNTIF(E7:E14,"&gt;0")</f>
        <v>2</v>
      </c>
    </row>
    <row r="18" spans="1:2" x14ac:dyDescent="0.3">
      <c r="A18" s="5" t="s">
        <v>139</v>
      </c>
      <c r="B18" s="15">
        <f>SUM(E7:E14)</f>
        <v>18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showGridLines="0" workbookViewId="0">
      <selection activeCell="B16" sqref="B16"/>
    </sheetView>
  </sheetViews>
  <sheetFormatPr baseColWidth="10" defaultColWidth="8.88671875" defaultRowHeight="14.4" x14ac:dyDescent="0.3"/>
  <cols>
    <col min="1" max="1" width="26" customWidth="1"/>
    <col min="2" max="2" width="13" customWidth="1"/>
    <col min="3" max="3" width="15" customWidth="1"/>
    <col min="4" max="4" width="13" customWidth="1"/>
    <col min="9" max="9" width="8" customWidth="1"/>
    <col min="10" max="10" width="9" customWidth="1"/>
  </cols>
  <sheetData>
    <row r="1" spans="1:10" ht="17.399999999999999" x14ac:dyDescent="0.3">
      <c r="A1" s="1" t="s">
        <v>140</v>
      </c>
    </row>
    <row r="2" spans="1:10" ht="45" customHeight="1" x14ac:dyDescent="0.3">
      <c r="A2" s="29" t="s">
        <v>141</v>
      </c>
      <c r="B2" s="30"/>
      <c r="C2" s="30"/>
      <c r="D2" s="30"/>
      <c r="E2" s="30"/>
      <c r="F2" s="30"/>
      <c r="G2" s="30"/>
      <c r="H2" s="30"/>
      <c r="I2" s="30"/>
    </row>
    <row r="3" spans="1:10" x14ac:dyDescent="0.3">
      <c r="A3" s="31" t="s">
        <v>142</v>
      </c>
      <c r="B3" s="30"/>
      <c r="C3" s="30"/>
      <c r="D3" s="30"/>
      <c r="E3" s="30"/>
      <c r="F3" s="30"/>
      <c r="G3" s="30"/>
      <c r="H3" s="30"/>
      <c r="I3" s="30"/>
    </row>
    <row r="4" spans="1:10" x14ac:dyDescent="0.3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3">
      <c r="A6" s="10" t="s">
        <v>100</v>
      </c>
      <c r="B6" s="10" t="s">
        <v>101</v>
      </c>
      <c r="C6" s="10" t="s">
        <v>103</v>
      </c>
      <c r="D6" s="10" t="s">
        <v>143</v>
      </c>
      <c r="I6" s="11" t="s">
        <v>144</v>
      </c>
      <c r="J6" s="18">
        <v>0.19</v>
      </c>
    </row>
    <row r="7" spans="1:10" x14ac:dyDescent="0.3">
      <c r="A7" s="4" t="s">
        <v>145</v>
      </c>
      <c r="B7" s="13">
        <v>2</v>
      </c>
      <c r="C7" s="19">
        <v>45000</v>
      </c>
      <c r="D7" s="20">
        <f>(B7*C7)</f>
        <v>90000</v>
      </c>
    </row>
    <row r="8" spans="1:10" x14ac:dyDescent="0.3">
      <c r="A8" s="16" t="s">
        <v>146</v>
      </c>
      <c r="B8" s="17">
        <v>3</v>
      </c>
      <c r="C8" s="21">
        <v>25000</v>
      </c>
      <c r="D8" s="20">
        <f t="shared" ref="D8:D12" si="0">(B8*C8)</f>
        <v>75000</v>
      </c>
    </row>
    <row r="9" spans="1:10" x14ac:dyDescent="0.3">
      <c r="A9" s="4" t="s">
        <v>147</v>
      </c>
      <c r="B9" s="13">
        <v>1</v>
      </c>
      <c r="C9" s="19">
        <v>520000</v>
      </c>
      <c r="D9" s="20">
        <f t="shared" si="0"/>
        <v>520000</v>
      </c>
    </row>
    <row r="10" spans="1:10" x14ac:dyDescent="0.3">
      <c r="A10" s="16" t="s">
        <v>148</v>
      </c>
      <c r="B10" s="17">
        <v>4</v>
      </c>
      <c r="C10" s="21">
        <v>18000</v>
      </c>
      <c r="D10" s="20">
        <f t="shared" si="0"/>
        <v>72000</v>
      </c>
    </row>
    <row r="11" spans="1:10" x14ac:dyDescent="0.3">
      <c r="A11" s="4" t="s">
        <v>149</v>
      </c>
      <c r="B11" s="13">
        <v>2</v>
      </c>
      <c r="C11" s="19">
        <v>60000</v>
      </c>
      <c r="D11" s="20">
        <f t="shared" si="0"/>
        <v>120000</v>
      </c>
    </row>
    <row r="12" spans="1:10" x14ac:dyDescent="0.3">
      <c r="A12" s="16" t="s">
        <v>150</v>
      </c>
      <c r="B12" s="17">
        <v>1</v>
      </c>
      <c r="C12" s="21">
        <v>35000</v>
      </c>
      <c r="D12" s="20">
        <f t="shared" si="0"/>
        <v>35000</v>
      </c>
    </row>
    <row r="14" spans="1:10" x14ac:dyDescent="0.3">
      <c r="A14" s="5" t="s">
        <v>151</v>
      </c>
      <c r="B14" s="20">
        <f>SUM(D7:D12)</f>
        <v>912000</v>
      </c>
    </row>
    <row r="15" spans="1:10" x14ac:dyDescent="0.3">
      <c r="A15" s="5" t="s">
        <v>144</v>
      </c>
      <c r="B15" s="20">
        <f>B14*$J$6</f>
        <v>173280</v>
      </c>
    </row>
    <row r="16" spans="1:10" x14ac:dyDescent="0.3">
      <c r="A16" s="5" t="s">
        <v>152</v>
      </c>
      <c r="B16" s="20">
        <f>SUM(B14:B15)</f>
        <v>1085280</v>
      </c>
    </row>
    <row r="17" spans="1:2" x14ac:dyDescent="0.3">
      <c r="A17" s="5" t="s">
        <v>153</v>
      </c>
      <c r="B17" s="15">
        <f>SUM(B7:B12)</f>
        <v>13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"/>
  <sheetViews>
    <sheetView showGridLines="0" topLeftCell="A2" workbookViewId="0">
      <selection activeCell="G18" sqref="G18"/>
    </sheetView>
  </sheetViews>
  <sheetFormatPr baseColWidth="10" defaultColWidth="8.88671875" defaultRowHeight="14.4" x14ac:dyDescent="0.3"/>
  <cols>
    <col min="1" max="1" width="24" customWidth="1"/>
    <col min="2" max="2" width="16" customWidth="1"/>
    <col min="3" max="4" width="13" customWidth="1"/>
    <col min="5" max="5" width="14" customWidth="1"/>
    <col min="7" max="7" width="8" customWidth="1"/>
    <col min="8" max="8" width="13" customWidth="1"/>
    <col min="9" max="9" width="11" customWidth="1"/>
  </cols>
  <sheetData>
    <row r="1" spans="1:9" ht="17.399999999999999" x14ac:dyDescent="0.3">
      <c r="A1" s="1" t="s">
        <v>154</v>
      </c>
    </row>
    <row r="2" spans="1:9" ht="75" customHeight="1" x14ac:dyDescent="0.3">
      <c r="A2" s="29" t="s">
        <v>155</v>
      </c>
      <c r="B2" s="30"/>
      <c r="C2" s="30"/>
      <c r="D2" s="30"/>
      <c r="E2" s="30"/>
      <c r="F2" s="30"/>
      <c r="G2" s="30"/>
      <c r="H2" s="30"/>
      <c r="I2" s="30"/>
    </row>
    <row r="3" spans="1:9" x14ac:dyDescent="0.3">
      <c r="A3" s="31" t="s">
        <v>156</v>
      </c>
      <c r="B3" s="30"/>
      <c r="C3" s="30"/>
      <c r="D3" s="30"/>
      <c r="E3" s="30"/>
      <c r="F3" s="30"/>
      <c r="G3" s="30"/>
      <c r="H3" s="30"/>
      <c r="I3" s="30"/>
    </row>
    <row r="4" spans="1:9" x14ac:dyDescent="0.3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9" x14ac:dyDescent="0.3">
      <c r="G6" s="22" t="s">
        <v>157</v>
      </c>
      <c r="H6" s="22" t="s">
        <v>158</v>
      </c>
      <c r="I6" s="22" t="s">
        <v>159</v>
      </c>
    </row>
    <row r="7" spans="1:9" x14ac:dyDescent="0.3">
      <c r="G7" s="7" t="s">
        <v>160</v>
      </c>
      <c r="H7" s="23">
        <v>1000000</v>
      </c>
      <c r="I7" s="24">
        <v>0.2</v>
      </c>
    </row>
    <row r="8" spans="1:9" x14ac:dyDescent="0.3">
      <c r="G8" s="7" t="s">
        <v>161</v>
      </c>
      <c r="H8" s="23">
        <v>500000</v>
      </c>
      <c r="I8" s="24">
        <v>0.1</v>
      </c>
    </row>
    <row r="10" spans="1:9" x14ac:dyDescent="0.3">
      <c r="A10" s="10" t="s">
        <v>162</v>
      </c>
      <c r="B10" s="10" t="s">
        <v>163</v>
      </c>
      <c r="C10" s="10" t="s">
        <v>164</v>
      </c>
      <c r="D10" s="10" t="s">
        <v>159</v>
      </c>
      <c r="E10" s="10" t="s">
        <v>165</v>
      </c>
    </row>
    <row r="11" spans="1:9" x14ac:dyDescent="0.3">
      <c r="A11" s="4" t="s">
        <v>54</v>
      </c>
      <c r="B11" s="19">
        <v>1250000</v>
      </c>
      <c r="C11" s="25">
        <f>IF(B11&gt;=$H$7,$I$7,IF(B11&gt;=$H$8,$I$8,"N/A"))</f>
        <v>0.2</v>
      </c>
      <c r="D11" s="20">
        <f>B11*C11</f>
        <v>250000</v>
      </c>
      <c r="E11" s="20">
        <f>B11-D11</f>
        <v>1000000</v>
      </c>
    </row>
    <row r="12" spans="1:9" x14ac:dyDescent="0.3">
      <c r="A12" s="16" t="s">
        <v>55</v>
      </c>
      <c r="B12" s="21">
        <v>480000</v>
      </c>
      <c r="C12" s="25">
        <f>IF(B12&gt;=$H$7,$I$7,IF(B12&gt;=$H$8,$I$8,0))</f>
        <v>0</v>
      </c>
      <c r="D12" s="20">
        <f t="shared" ref="D12:D20" si="0">B12*C12</f>
        <v>0</v>
      </c>
      <c r="E12" s="20">
        <f t="shared" ref="E12:E20" si="1">B12-D12</f>
        <v>480000</v>
      </c>
    </row>
    <row r="13" spans="1:9" x14ac:dyDescent="0.3">
      <c r="A13" s="4" t="s">
        <v>56</v>
      </c>
      <c r="B13" s="19">
        <v>750000</v>
      </c>
      <c r="C13" s="25">
        <f t="shared" ref="C13:C20" si="2">IF(B13&gt;=$H$7,$I$7,IF(B13&gt;=$H$8,$I$8,0))</f>
        <v>0.1</v>
      </c>
      <c r="D13" s="20">
        <f t="shared" si="0"/>
        <v>75000</v>
      </c>
      <c r="E13" s="20">
        <f t="shared" si="1"/>
        <v>675000</v>
      </c>
    </row>
    <row r="14" spans="1:9" x14ac:dyDescent="0.3">
      <c r="A14" s="16" t="s">
        <v>57</v>
      </c>
      <c r="B14" s="21">
        <v>2000000</v>
      </c>
      <c r="C14" s="25">
        <f t="shared" si="2"/>
        <v>0.2</v>
      </c>
      <c r="D14" s="20">
        <f t="shared" si="0"/>
        <v>400000</v>
      </c>
      <c r="E14" s="20">
        <f t="shared" si="1"/>
        <v>1600000</v>
      </c>
    </row>
    <row r="15" spans="1:9" x14ac:dyDescent="0.3">
      <c r="A15" s="4" t="s">
        <v>58</v>
      </c>
      <c r="B15" s="19">
        <v>150000</v>
      </c>
      <c r="C15" s="25">
        <f t="shared" si="2"/>
        <v>0</v>
      </c>
      <c r="D15" s="20">
        <f t="shared" si="0"/>
        <v>0</v>
      </c>
      <c r="E15" s="20">
        <f t="shared" si="1"/>
        <v>150000</v>
      </c>
    </row>
    <row r="16" spans="1:9" x14ac:dyDescent="0.3">
      <c r="A16" s="16" t="s">
        <v>59</v>
      </c>
      <c r="B16" s="21">
        <v>999999</v>
      </c>
      <c r="C16" s="25">
        <f t="shared" si="2"/>
        <v>0.1</v>
      </c>
      <c r="D16" s="20">
        <f t="shared" si="0"/>
        <v>99999.900000000009</v>
      </c>
      <c r="E16" s="20">
        <f t="shared" si="1"/>
        <v>899999.1</v>
      </c>
    </row>
    <row r="17" spans="1:5" x14ac:dyDescent="0.3">
      <c r="A17" s="4" t="s">
        <v>60</v>
      </c>
      <c r="B17" s="19">
        <v>500000</v>
      </c>
      <c r="C17" s="25">
        <f t="shared" si="2"/>
        <v>0.1</v>
      </c>
      <c r="D17" s="20">
        <f t="shared" si="0"/>
        <v>50000</v>
      </c>
      <c r="E17" s="20">
        <f t="shared" si="1"/>
        <v>450000</v>
      </c>
    </row>
    <row r="18" spans="1:5" x14ac:dyDescent="0.3">
      <c r="A18" s="16" t="s">
        <v>61</v>
      </c>
      <c r="B18" s="21">
        <v>1000000</v>
      </c>
      <c r="C18" s="25">
        <f t="shared" si="2"/>
        <v>0.2</v>
      </c>
      <c r="D18" s="20">
        <f t="shared" si="0"/>
        <v>200000</v>
      </c>
      <c r="E18" s="20">
        <f t="shared" si="1"/>
        <v>800000</v>
      </c>
    </row>
    <row r="19" spans="1:5" x14ac:dyDescent="0.3">
      <c r="A19" s="4" t="s">
        <v>62</v>
      </c>
      <c r="B19" s="19">
        <v>320000</v>
      </c>
      <c r="C19" s="25">
        <f t="shared" si="2"/>
        <v>0</v>
      </c>
      <c r="D19" s="20">
        <f t="shared" si="0"/>
        <v>0</v>
      </c>
      <c r="E19" s="20">
        <f t="shared" si="1"/>
        <v>320000</v>
      </c>
    </row>
    <row r="20" spans="1:5" x14ac:dyDescent="0.3">
      <c r="A20" s="16" t="s">
        <v>63</v>
      </c>
      <c r="B20" s="21">
        <v>640000</v>
      </c>
      <c r="C20" s="25">
        <f t="shared" si="2"/>
        <v>0.1</v>
      </c>
      <c r="D20" s="20">
        <f t="shared" si="0"/>
        <v>64000</v>
      </c>
      <c r="E20" s="20">
        <f t="shared" si="1"/>
        <v>576000</v>
      </c>
    </row>
    <row r="22" spans="1:5" x14ac:dyDescent="0.3">
      <c r="A22" s="5" t="s">
        <v>166</v>
      </c>
      <c r="B22" s="20">
        <f>SUM(E11:E20)</f>
        <v>6950999.0999999996</v>
      </c>
    </row>
    <row r="23" spans="1:5" x14ac:dyDescent="0.3">
      <c r="A23" s="5" t="s">
        <v>167</v>
      </c>
      <c r="B23" s="20">
        <f>SUM(D11:D20)</f>
        <v>1138999.8999999999</v>
      </c>
    </row>
    <row r="24" spans="1:5" x14ac:dyDescent="0.3">
      <c r="A24" s="5" t="s">
        <v>168</v>
      </c>
      <c r="B24" s="34">
        <f>COUNTIF(C11:C20,"&gt;0%")</f>
        <v>7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7"/>
  <sheetViews>
    <sheetView showGridLines="0" workbookViewId="0">
      <selection activeCell="L15" sqref="L15"/>
    </sheetView>
  </sheetViews>
  <sheetFormatPr baseColWidth="10" defaultColWidth="8.88671875" defaultRowHeight="14.4" x14ac:dyDescent="0.3"/>
  <cols>
    <col min="1" max="1" width="36" customWidth="1"/>
    <col min="2" max="8" width="6" customWidth="1"/>
    <col min="9" max="9" width="10" customWidth="1"/>
    <col min="10" max="11" width="9" customWidth="1"/>
    <col min="12" max="12" width="15" customWidth="1"/>
    <col min="13" max="13" width="8" customWidth="1"/>
  </cols>
  <sheetData>
    <row r="1" spans="1:13" ht="17.399999999999999" x14ac:dyDescent="0.3">
      <c r="A1" s="1" t="s">
        <v>169</v>
      </c>
    </row>
    <row r="2" spans="1:13" ht="60" customHeight="1" x14ac:dyDescent="0.3">
      <c r="A2" s="29" t="s">
        <v>170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x14ac:dyDescent="0.3">
      <c r="A3" s="31" t="s">
        <v>171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x14ac:dyDescent="0.3">
      <c r="A4" s="32" t="s">
        <v>44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6" spans="1:13" x14ac:dyDescent="0.3">
      <c r="A6" s="10" t="s">
        <v>172</v>
      </c>
      <c r="B6" s="10" t="s">
        <v>173</v>
      </c>
      <c r="C6" s="10" t="s">
        <v>174</v>
      </c>
      <c r="D6" s="10" t="s">
        <v>175</v>
      </c>
      <c r="E6" s="10" t="s">
        <v>176</v>
      </c>
      <c r="F6" s="10" t="s">
        <v>177</v>
      </c>
      <c r="G6" s="10" t="s">
        <v>178</v>
      </c>
      <c r="H6" s="10" t="s">
        <v>179</v>
      </c>
      <c r="I6" s="10" t="s">
        <v>51</v>
      </c>
      <c r="J6" s="10" t="s">
        <v>180</v>
      </c>
      <c r="K6" s="10" t="s">
        <v>181</v>
      </c>
      <c r="L6" s="10" t="s">
        <v>182</v>
      </c>
      <c r="M6" s="12">
        <v>30</v>
      </c>
    </row>
    <row r="7" spans="1:13" x14ac:dyDescent="0.3">
      <c r="A7" s="4" t="s">
        <v>183</v>
      </c>
      <c r="B7" s="13">
        <v>33</v>
      </c>
      <c r="C7" s="13">
        <v>29</v>
      </c>
      <c r="D7" s="13">
        <v>32</v>
      </c>
      <c r="E7" s="13">
        <v>29</v>
      </c>
      <c r="F7" s="13">
        <v>30</v>
      </c>
      <c r="G7" s="13">
        <v>35</v>
      </c>
      <c r="H7" s="13">
        <v>31</v>
      </c>
      <c r="I7" s="14">
        <f>AVERAGE(B7:H7)</f>
        <v>31.285714285714285</v>
      </c>
      <c r="J7" s="15">
        <f>MAX(B7:H7)</f>
        <v>35</v>
      </c>
      <c r="K7" s="15">
        <f>MIN(B7:H7)</f>
        <v>29</v>
      </c>
      <c r="L7" s="15">
        <f>COUNTIF(B7:H7,"&gt;="&amp;$M$6)</f>
        <v>5</v>
      </c>
    </row>
    <row r="8" spans="1:13" x14ac:dyDescent="0.3">
      <c r="A8" s="16" t="s">
        <v>184</v>
      </c>
      <c r="B8" s="17">
        <v>16</v>
      </c>
      <c r="C8" s="17">
        <v>20</v>
      </c>
      <c r="D8" s="17">
        <v>16</v>
      </c>
      <c r="E8" s="17">
        <v>18</v>
      </c>
      <c r="F8" s="17">
        <v>18</v>
      </c>
      <c r="G8" s="17">
        <v>21</v>
      </c>
      <c r="H8" s="17">
        <v>18</v>
      </c>
      <c r="I8" s="14">
        <f t="shared" ref="I8:I12" si="0">AVERAGE(B8:H8)</f>
        <v>18.142857142857142</v>
      </c>
      <c r="J8" s="15">
        <f t="shared" ref="J8:J12" si="1">MAX(B8:H8)</f>
        <v>21</v>
      </c>
      <c r="K8" s="15">
        <f t="shared" ref="K8:K12" si="2">MIN(B8:H8)</f>
        <v>16</v>
      </c>
      <c r="L8" s="15">
        <f t="shared" ref="L7:L9" si="3">COUNTIF(B8:H8,"&gt;="&amp;$M$6)</f>
        <v>0</v>
      </c>
    </row>
    <row r="9" spans="1:13" x14ac:dyDescent="0.3">
      <c r="A9" s="4" t="s">
        <v>185</v>
      </c>
      <c r="B9" s="13">
        <v>23</v>
      </c>
      <c r="C9" s="13">
        <v>24</v>
      </c>
      <c r="D9" s="13">
        <v>26</v>
      </c>
      <c r="E9" s="13">
        <v>26</v>
      </c>
      <c r="F9" s="13">
        <v>27</v>
      </c>
      <c r="G9" s="13">
        <v>25</v>
      </c>
      <c r="H9" s="13">
        <v>24</v>
      </c>
      <c r="I9" s="14">
        <f t="shared" si="0"/>
        <v>25</v>
      </c>
      <c r="J9" s="15">
        <f t="shared" si="1"/>
        <v>27</v>
      </c>
      <c r="K9" s="15">
        <f t="shared" si="2"/>
        <v>23</v>
      </c>
      <c r="L9" s="15">
        <f t="shared" si="3"/>
        <v>0</v>
      </c>
    </row>
    <row r="10" spans="1:13" x14ac:dyDescent="0.3">
      <c r="A10" s="16" t="s">
        <v>186</v>
      </c>
      <c r="B10" s="17">
        <v>32</v>
      </c>
      <c r="C10" s="17">
        <v>29</v>
      </c>
      <c r="D10" s="17">
        <v>32</v>
      </c>
      <c r="E10" s="17">
        <v>30</v>
      </c>
      <c r="F10" s="17">
        <v>28</v>
      </c>
      <c r="G10" s="17">
        <v>31</v>
      </c>
      <c r="H10" s="17">
        <v>29</v>
      </c>
      <c r="I10" s="14">
        <f t="shared" si="0"/>
        <v>30.142857142857142</v>
      </c>
      <c r="J10" s="15">
        <f t="shared" si="1"/>
        <v>32</v>
      </c>
      <c r="K10" s="15">
        <f t="shared" si="2"/>
        <v>28</v>
      </c>
      <c r="L10" s="15">
        <f>COUNTIF(B10:H10,"&gt;="&amp;$M$6)</f>
        <v>4</v>
      </c>
    </row>
    <row r="11" spans="1:13" x14ac:dyDescent="0.3">
      <c r="A11" s="4" t="s">
        <v>187</v>
      </c>
      <c r="B11" s="13">
        <v>32</v>
      </c>
      <c r="C11" s="13">
        <v>35</v>
      </c>
      <c r="D11" s="13">
        <v>33</v>
      </c>
      <c r="E11" s="13">
        <v>31</v>
      </c>
      <c r="F11" s="13">
        <v>31</v>
      </c>
      <c r="G11" s="13">
        <v>30</v>
      </c>
      <c r="H11" s="13">
        <v>31</v>
      </c>
      <c r="I11" s="14">
        <f t="shared" si="0"/>
        <v>31.857142857142858</v>
      </c>
      <c r="J11" s="15">
        <f t="shared" si="1"/>
        <v>35</v>
      </c>
      <c r="K11" s="15">
        <f t="shared" si="2"/>
        <v>30</v>
      </c>
      <c r="L11" s="15">
        <f>COUNTIF(B11:H11,"&gt;="&amp;$M$6)</f>
        <v>7</v>
      </c>
    </row>
    <row r="12" spans="1:13" x14ac:dyDescent="0.3">
      <c r="A12" s="16" t="s">
        <v>188</v>
      </c>
      <c r="B12" s="17">
        <v>19</v>
      </c>
      <c r="C12" s="17">
        <v>19</v>
      </c>
      <c r="D12" s="17">
        <v>23</v>
      </c>
      <c r="E12" s="17">
        <v>19</v>
      </c>
      <c r="F12" s="17">
        <v>18</v>
      </c>
      <c r="G12" s="17">
        <v>21</v>
      </c>
      <c r="H12" s="17">
        <v>24</v>
      </c>
      <c r="I12" s="14">
        <f t="shared" si="0"/>
        <v>20.428571428571427</v>
      </c>
      <c r="J12" s="15">
        <f t="shared" si="1"/>
        <v>24</v>
      </c>
      <c r="K12" s="15">
        <f t="shared" si="2"/>
        <v>18</v>
      </c>
      <c r="L12" s="15">
        <f>COUNTIF(B12:H12,"&gt;="&amp;$M$6)</f>
        <v>0</v>
      </c>
    </row>
    <row r="14" spans="1:13" x14ac:dyDescent="0.3">
      <c r="A14" s="5" t="s">
        <v>189</v>
      </c>
      <c r="B14" s="15">
        <f>MAX(B7:H12)</f>
        <v>35</v>
      </c>
    </row>
    <row r="15" spans="1:13" x14ac:dyDescent="0.3">
      <c r="A15" s="5" t="s">
        <v>190</v>
      </c>
      <c r="B15" s="15">
        <f>MIN(B7:H12)</f>
        <v>16</v>
      </c>
    </row>
    <row r="16" spans="1:13" x14ac:dyDescent="0.3">
      <c r="A16" s="5" t="s">
        <v>191</v>
      </c>
      <c r="B16" s="15">
        <f>SUM(L7:L12)</f>
        <v>16</v>
      </c>
    </row>
    <row r="17" spans="1:2" x14ac:dyDescent="0.3">
      <c r="A17" s="5" t="s">
        <v>192</v>
      </c>
      <c r="B17" s="14">
        <f>MAX(I7:I12)</f>
        <v>31.857142857142858</v>
      </c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1"/>
  <sheetViews>
    <sheetView showGridLines="0" workbookViewId="0">
      <selection activeCell="K18" sqref="K18"/>
    </sheetView>
  </sheetViews>
  <sheetFormatPr baseColWidth="10" defaultColWidth="8.88671875" defaultRowHeight="14.4" x14ac:dyDescent="0.3"/>
  <cols>
    <col min="1" max="1" width="30" customWidth="1"/>
    <col min="2" max="2" width="6" customWidth="1"/>
    <col min="3" max="11" width="5" customWidth="1"/>
    <col min="12" max="12" width="11" customWidth="1"/>
    <col min="13" max="13" width="12" customWidth="1"/>
    <col min="14" max="14" width="11" customWidth="1"/>
    <col min="15" max="15" width="8" customWidth="1"/>
  </cols>
  <sheetData>
    <row r="1" spans="1:15" ht="17.399999999999999" x14ac:dyDescent="0.3">
      <c r="A1" s="1" t="s">
        <v>193</v>
      </c>
    </row>
    <row r="2" spans="1:15" ht="60" customHeight="1" x14ac:dyDescent="0.3">
      <c r="A2" s="29" t="s">
        <v>194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5" x14ac:dyDescent="0.3">
      <c r="A3" s="31" t="s">
        <v>195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x14ac:dyDescent="0.3">
      <c r="A4" s="32" t="s">
        <v>44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6" spans="1:15" x14ac:dyDescent="0.3">
      <c r="A6" s="10" t="s">
        <v>45</v>
      </c>
      <c r="B6" s="10" t="s">
        <v>196</v>
      </c>
      <c r="C6" s="10" t="s">
        <v>197</v>
      </c>
      <c r="D6" s="10" t="s">
        <v>198</v>
      </c>
      <c r="E6" s="10" t="s">
        <v>199</v>
      </c>
      <c r="F6" s="10" t="s">
        <v>200</v>
      </c>
      <c r="G6" s="10" t="s">
        <v>201</v>
      </c>
      <c r="H6" s="10" t="s">
        <v>202</v>
      </c>
      <c r="I6" s="10" t="s">
        <v>203</v>
      </c>
      <c r="J6" s="10" t="s">
        <v>204</v>
      </c>
      <c r="K6" s="10" t="s">
        <v>205</v>
      </c>
      <c r="L6" s="10" t="s">
        <v>206</v>
      </c>
      <c r="M6" s="10" t="s">
        <v>207</v>
      </c>
      <c r="N6" s="10" t="s">
        <v>105</v>
      </c>
      <c r="O6" s="18">
        <v>0.8</v>
      </c>
    </row>
    <row r="7" spans="1:15" x14ac:dyDescent="0.3">
      <c r="A7" s="4" t="s">
        <v>54</v>
      </c>
      <c r="B7" s="13" t="s">
        <v>208</v>
      </c>
      <c r="C7" s="13" t="s">
        <v>208</v>
      </c>
      <c r="D7" s="13" t="s">
        <v>208</v>
      </c>
      <c r="E7" s="13" t="s">
        <v>208</v>
      </c>
      <c r="F7" s="13" t="s">
        <v>208</v>
      </c>
      <c r="G7" s="13" t="s">
        <v>208</v>
      </c>
      <c r="H7" s="13" t="s">
        <v>209</v>
      </c>
      <c r="I7" s="13" t="s">
        <v>208</v>
      </c>
      <c r="J7" s="13" t="s">
        <v>208</v>
      </c>
      <c r="K7" s="13" t="s">
        <v>208</v>
      </c>
      <c r="L7" s="15">
        <f>COUNTIF(B7:K7,"=P")</f>
        <v>9</v>
      </c>
      <c r="M7" s="25">
        <f>L7/10</f>
        <v>0.9</v>
      </c>
      <c r="N7" s="15" t="str">
        <f>IF(M7&gt;=$O$6,"cumple","incumple")</f>
        <v>cumple</v>
      </c>
    </row>
    <row r="8" spans="1:15" x14ac:dyDescent="0.3">
      <c r="A8" s="16" t="s">
        <v>55</v>
      </c>
      <c r="B8" s="17" t="s">
        <v>208</v>
      </c>
      <c r="C8" s="17" t="s">
        <v>208</v>
      </c>
      <c r="D8" s="17" t="s">
        <v>209</v>
      </c>
      <c r="E8" s="17" t="s">
        <v>208</v>
      </c>
      <c r="F8" s="17" t="s">
        <v>209</v>
      </c>
      <c r="G8" s="17" t="s">
        <v>208</v>
      </c>
      <c r="H8" s="17" t="s">
        <v>208</v>
      </c>
      <c r="I8" s="17" t="s">
        <v>208</v>
      </c>
      <c r="J8" s="17" t="s">
        <v>208</v>
      </c>
      <c r="K8" s="17" t="s">
        <v>208</v>
      </c>
      <c r="L8" s="15">
        <f t="shared" ref="L8:L16" si="0">COUNTIF(B8:K8,"=P")</f>
        <v>8</v>
      </c>
      <c r="M8" s="25">
        <f t="shared" ref="M8:M16" si="1">L8/10</f>
        <v>0.8</v>
      </c>
      <c r="N8" s="15" t="str">
        <f t="shared" ref="N7:N9" si="2">IF(M8&gt;=$O$6,"cumple","incumple")</f>
        <v>cumple</v>
      </c>
    </row>
    <row r="9" spans="1:15" x14ac:dyDescent="0.3">
      <c r="A9" s="4" t="s">
        <v>56</v>
      </c>
      <c r="B9" s="13" t="s">
        <v>208</v>
      </c>
      <c r="C9" s="13" t="s">
        <v>208</v>
      </c>
      <c r="D9" s="13" t="s">
        <v>208</v>
      </c>
      <c r="E9" s="13" t="s">
        <v>208</v>
      </c>
      <c r="F9" s="13" t="s">
        <v>208</v>
      </c>
      <c r="G9" s="13" t="s">
        <v>208</v>
      </c>
      <c r="H9" s="13" t="s">
        <v>208</v>
      </c>
      <c r="I9" s="13" t="s">
        <v>208</v>
      </c>
      <c r="J9" s="13" t="s">
        <v>208</v>
      </c>
      <c r="K9" s="13" t="s">
        <v>208</v>
      </c>
      <c r="L9" s="15">
        <f t="shared" si="0"/>
        <v>10</v>
      </c>
      <c r="M9" s="25">
        <f t="shared" si="1"/>
        <v>1</v>
      </c>
      <c r="N9" s="15" t="str">
        <f t="shared" si="2"/>
        <v>cumple</v>
      </c>
    </row>
    <row r="10" spans="1:15" x14ac:dyDescent="0.3">
      <c r="A10" s="16" t="s">
        <v>57</v>
      </c>
      <c r="B10" s="17" t="s">
        <v>208</v>
      </c>
      <c r="C10" s="17" t="s">
        <v>209</v>
      </c>
      <c r="D10" s="17" t="s">
        <v>208</v>
      </c>
      <c r="E10" s="17" t="s">
        <v>208</v>
      </c>
      <c r="F10" s="17" t="s">
        <v>208</v>
      </c>
      <c r="G10" s="17" t="s">
        <v>208</v>
      </c>
      <c r="H10" s="17" t="s">
        <v>208</v>
      </c>
      <c r="I10" s="17" t="s">
        <v>208</v>
      </c>
      <c r="J10" s="17" t="s">
        <v>209</v>
      </c>
      <c r="K10" s="17" t="s">
        <v>209</v>
      </c>
      <c r="L10" s="15">
        <f t="shared" si="0"/>
        <v>7</v>
      </c>
      <c r="M10" s="25">
        <f t="shared" si="1"/>
        <v>0.7</v>
      </c>
      <c r="N10" s="15" t="str">
        <f>IF(M10&gt;=$O$6,"cumple","incumple")</f>
        <v>incumple</v>
      </c>
    </row>
    <row r="11" spans="1:15" x14ac:dyDescent="0.3">
      <c r="A11" s="4" t="s">
        <v>58</v>
      </c>
      <c r="B11" s="13" t="s">
        <v>208</v>
      </c>
      <c r="C11" s="13" t="s">
        <v>208</v>
      </c>
      <c r="D11" s="13" t="s">
        <v>208</v>
      </c>
      <c r="E11" s="13" t="s">
        <v>208</v>
      </c>
      <c r="F11" s="13" t="s">
        <v>208</v>
      </c>
      <c r="G11" s="13" t="s">
        <v>208</v>
      </c>
      <c r="H11" s="13" t="s">
        <v>209</v>
      </c>
      <c r="I11" s="13" t="s">
        <v>208</v>
      </c>
      <c r="J11" s="13" t="s">
        <v>208</v>
      </c>
      <c r="K11" s="13" t="s">
        <v>209</v>
      </c>
      <c r="L11" s="15">
        <f t="shared" si="0"/>
        <v>8</v>
      </c>
      <c r="M11" s="25">
        <f t="shared" si="1"/>
        <v>0.8</v>
      </c>
      <c r="N11" s="15" t="str">
        <f t="shared" ref="N11:N16" si="3">IF(M11&gt;=$O$6,"cumple","incumple")</f>
        <v>cumple</v>
      </c>
    </row>
    <row r="12" spans="1:15" x14ac:dyDescent="0.3">
      <c r="A12" s="16" t="s">
        <v>59</v>
      </c>
      <c r="B12" s="17" t="s">
        <v>208</v>
      </c>
      <c r="C12" s="17" t="s">
        <v>208</v>
      </c>
      <c r="D12" s="17" t="s">
        <v>208</v>
      </c>
      <c r="E12" s="17" t="s">
        <v>208</v>
      </c>
      <c r="F12" s="17" t="s">
        <v>208</v>
      </c>
      <c r="G12" s="17" t="s">
        <v>209</v>
      </c>
      <c r="H12" s="17" t="s">
        <v>209</v>
      </c>
      <c r="I12" s="17" t="s">
        <v>208</v>
      </c>
      <c r="J12" s="17" t="s">
        <v>208</v>
      </c>
      <c r="K12" s="17" t="s">
        <v>208</v>
      </c>
      <c r="L12" s="15">
        <f t="shared" si="0"/>
        <v>8</v>
      </c>
      <c r="M12" s="25">
        <f t="shared" si="1"/>
        <v>0.8</v>
      </c>
      <c r="N12" s="15" t="str">
        <f t="shared" si="3"/>
        <v>cumple</v>
      </c>
    </row>
    <row r="13" spans="1:15" x14ac:dyDescent="0.3">
      <c r="A13" s="4" t="s">
        <v>60</v>
      </c>
      <c r="B13" s="13" t="s">
        <v>208</v>
      </c>
      <c r="C13" s="13" t="s">
        <v>208</v>
      </c>
      <c r="D13" s="13" t="s">
        <v>208</v>
      </c>
      <c r="E13" s="13" t="s">
        <v>208</v>
      </c>
      <c r="F13" s="13" t="s">
        <v>208</v>
      </c>
      <c r="G13" s="13" t="s">
        <v>208</v>
      </c>
      <c r="H13" s="13" t="s">
        <v>208</v>
      </c>
      <c r="I13" s="13" t="s">
        <v>209</v>
      </c>
      <c r="J13" s="13" t="s">
        <v>209</v>
      </c>
      <c r="K13" s="13" t="s">
        <v>208</v>
      </c>
      <c r="L13" s="15">
        <f t="shared" si="0"/>
        <v>8</v>
      </c>
      <c r="M13" s="25">
        <f t="shared" si="1"/>
        <v>0.8</v>
      </c>
      <c r="N13" s="15" t="str">
        <f t="shared" si="3"/>
        <v>cumple</v>
      </c>
    </row>
    <row r="14" spans="1:15" x14ac:dyDescent="0.3">
      <c r="A14" s="16" t="s">
        <v>61</v>
      </c>
      <c r="B14" s="17" t="s">
        <v>208</v>
      </c>
      <c r="C14" s="17" t="s">
        <v>208</v>
      </c>
      <c r="D14" s="17" t="s">
        <v>208</v>
      </c>
      <c r="E14" s="17" t="s">
        <v>208</v>
      </c>
      <c r="F14" s="17" t="s">
        <v>208</v>
      </c>
      <c r="G14" s="17" t="s">
        <v>208</v>
      </c>
      <c r="H14" s="17" t="s">
        <v>208</v>
      </c>
      <c r="I14" s="17" t="s">
        <v>208</v>
      </c>
      <c r="J14" s="17" t="s">
        <v>208</v>
      </c>
      <c r="K14" s="17" t="s">
        <v>208</v>
      </c>
      <c r="L14" s="15">
        <f t="shared" si="0"/>
        <v>10</v>
      </c>
      <c r="M14" s="25">
        <f t="shared" si="1"/>
        <v>1</v>
      </c>
      <c r="N14" s="15" t="str">
        <f t="shared" si="3"/>
        <v>cumple</v>
      </c>
    </row>
    <row r="15" spans="1:15" x14ac:dyDescent="0.3">
      <c r="A15" s="4" t="s">
        <v>62</v>
      </c>
      <c r="B15" s="13" t="s">
        <v>209</v>
      </c>
      <c r="C15" s="13" t="s">
        <v>208</v>
      </c>
      <c r="D15" s="13" t="s">
        <v>209</v>
      </c>
      <c r="E15" s="13" t="s">
        <v>209</v>
      </c>
      <c r="F15" s="13" t="s">
        <v>209</v>
      </c>
      <c r="G15" s="13" t="s">
        <v>208</v>
      </c>
      <c r="H15" s="13" t="s">
        <v>208</v>
      </c>
      <c r="I15" s="13" t="s">
        <v>208</v>
      </c>
      <c r="J15" s="13" t="s">
        <v>208</v>
      </c>
      <c r="K15" s="13" t="s">
        <v>208</v>
      </c>
      <c r="L15" s="15">
        <f t="shared" si="0"/>
        <v>6</v>
      </c>
      <c r="M15" s="25">
        <f t="shared" si="1"/>
        <v>0.6</v>
      </c>
      <c r="N15" s="15" t="str">
        <f t="shared" si="3"/>
        <v>incumple</v>
      </c>
    </row>
    <row r="16" spans="1:15" x14ac:dyDescent="0.3">
      <c r="A16" s="16" t="s">
        <v>63</v>
      </c>
      <c r="B16" s="17" t="s">
        <v>208</v>
      </c>
      <c r="C16" s="17" t="s">
        <v>209</v>
      </c>
      <c r="D16" s="17" t="s">
        <v>209</v>
      </c>
      <c r="E16" s="17" t="s">
        <v>208</v>
      </c>
      <c r="F16" s="17" t="s">
        <v>208</v>
      </c>
      <c r="G16" s="17" t="s">
        <v>208</v>
      </c>
      <c r="H16" s="17" t="s">
        <v>208</v>
      </c>
      <c r="I16" s="17" t="s">
        <v>208</v>
      </c>
      <c r="J16" s="17" t="s">
        <v>209</v>
      </c>
      <c r="K16" s="17" t="s">
        <v>208</v>
      </c>
      <c r="L16" s="15">
        <f t="shared" si="0"/>
        <v>7</v>
      </c>
      <c r="M16" s="25">
        <f t="shared" si="1"/>
        <v>0.7</v>
      </c>
      <c r="N16" s="15" t="str">
        <f t="shared" si="3"/>
        <v>incumple</v>
      </c>
    </row>
    <row r="18" spans="1:2" x14ac:dyDescent="0.3">
      <c r="A18" s="5" t="s">
        <v>210</v>
      </c>
      <c r="B18" s="15">
        <f>COUNTIF(N7:N16,"cumple")</f>
        <v>7</v>
      </c>
    </row>
    <row r="19" spans="1:2" x14ac:dyDescent="0.3">
      <c r="A19" s="5" t="s">
        <v>211</v>
      </c>
      <c r="B19" s="15">
        <f>COUNTIF(N7:N16,"incumple")</f>
        <v>3</v>
      </c>
    </row>
    <row r="20" spans="1:2" x14ac:dyDescent="0.3">
      <c r="A20" s="5" t="s">
        <v>212</v>
      </c>
      <c r="B20" s="25">
        <f>AVERAGE(M7:M16)</f>
        <v>0.80999999999999994</v>
      </c>
    </row>
    <row r="21" spans="1:2" x14ac:dyDescent="0.3">
      <c r="A21" s="5" t="s">
        <v>213</v>
      </c>
      <c r="B21" s="15">
        <f>COUNTIF(B7:K16,"=A")</f>
        <v>19</v>
      </c>
    </row>
  </sheetData>
  <mergeCells count="3">
    <mergeCell ref="A4:N4"/>
    <mergeCell ref="A3:N3"/>
    <mergeCell ref="A2:N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showGridLines="0" workbookViewId="0">
      <selection activeCell="C20" sqref="C20"/>
    </sheetView>
  </sheetViews>
  <sheetFormatPr baseColWidth="10" defaultColWidth="8.88671875" defaultRowHeight="14.4" x14ac:dyDescent="0.3"/>
  <cols>
    <col min="1" max="1" width="24" customWidth="1"/>
    <col min="2" max="2" width="14" customWidth="1"/>
    <col min="3" max="4" width="13" customWidth="1"/>
    <col min="5" max="5" width="12" customWidth="1"/>
    <col min="6" max="6" width="17" customWidth="1"/>
  </cols>
  <sheetData>
    <row r="1" spans="1:6" ht="17.399999999999999" x14ac:dyDescent="0.3">
      <c r="A1" s="1" t="s">
        <v>214</v>
      </c>
    </row>
    <row r="2" spans="1:6" ht="75" customHeight="1" x14ac:dyDescent="0.3">
      <c r="A2" s="29" t="s">
        <v>215</v>
      </c>
      <c r="B2" s="30"/>
      <c r="C2" s="30"/>
      <c r="D2" s="30"/>
      <c r="E2" s="30"/>
      <c r="F2" s="30"/>
    </row>
    <row r="3" spans="1:6" x14ac:dyDescent="0.3">
      <c r="A3" s="31" t="s">
        <v>216</v>
      </c>
      <c r="B3" s="30"/>
      <c r="C3" s="30"/>
      <c r="D3" s="30"/>
      <c r="E3" s="30"/>
      <c r="F3" s="30"/>
    </row>
    <row r="4" spans="1:6" x14ac:dyDescent="0.3">
      <c r="A4" s="32" t="s">
        <v>44</v>
      </c>
      <c r="B4" s="30"/>
      <c r="C4" s="30"/>
      <c r="D4" s="30"/>
      <c r="E4" s="30"/>
      <c r="F4" s="30"/>
    </row>
    <row r="6" spans="1:6" x14ac:dyDescent="0.3">
      <c r="A6" s="10" t="s">
        <v>217</v>
      </c>
      <c r="B6" s="10" t="s">
        <v>218</v>
      </c>
      <c r="C6" s="10" t="s">
        <v>219</v>
      </c>
      <c r="D6" s="10" t="s">
        <v>220</v>
      </c>
      <c r="E6" s="10" t="s">
        <v>105</v>
      </c>
      <c r="F6" s="10" t="s">
        <v>221</v>
      </c>
    </row>
    <row r="7" spans="1:6" x14ac:dyDescent="0.3">
      <c r="A7" s="4" t="s">
        <v>222</v>
      </c>
      <c r="B7" s="19">
        <v>900000</v>
      </c>
      <c r="C7" s="19">
        <v>900000</v>
      </c>
      <c r="D7" s="26">
        <f>B7-C7</f>
        <v>0</v>
      </c>
      <c r="E7" s="15" t="str">
        <f>IF(D7&gt;=0,"dentro","excedido")</f>
        <v>dentro</v>
      </c>
      <c r="F7" s="27">
        <f>C7/B7</f>
        <v>1</v>
      </c>
    </row>
    <row r="8" spans="1:6" x14ac:dyDescent="0.3">
      <c r="A8" s="16" t="s">
        <v>223</v>
      </c>
      <c r="B8" s="21">
        <v>600000</v>
      </c>
      <c r="C8" s="21">
        <v>685000</v>
      </c>
      <c r="D8" s="26">
        <f t="shared" ref="D8:D15" si="0">B8-C8</f>
        <v>-85000</v>
      </c>
      <c r="E8" s="15" t="str">
        <f t="shared" ref="E8:E15" si="1">IF(D8&gt;=0,"dentro","excedido")</f>
        <v>excedido</v>
      </c>
      <c r="F8" s="27">
        <f t="shared" ref="F8:F15" si="2">C8/B8</f>
        <v>1.1416666666666666</v>
      </c>
    </row>
    <row r="9" spans="1:6" x14ac:dyDescent="0.3">
      <c r="A9" s="4" t="s">
        <v>224</v>
      </c>
      <c r="B9" s="19">
        <v>200000</v>
      </c>
      <c r="C9" s="19">
        <v>175000</v>
      </c>
      <c r="D9" s="26">
        <f t="shared" si="0"/>
        <v>25000</v>
      </c>
      <c r="E9" s="15" t="str">
        <f t="shared" si="1"/>
        <v>dentro</v>
      </c>
      <c r="F9" s="27">
        <f t="shared" si="2"/>
        <v>0.875</v>
      </c>
    </row>
    <row r="10" spans="1:6" x14ac:dyDescent="0.3">
      <c r="A10" s="16" t="s">
        <v>225</v>
      </c>
      <c r="B10" s="21">
        <v>250000</v>
      </c>
      <c r="C10" s="21">
        <v>268000</v>
      </c>
      <c r="D10" s="26">
        <f t="shared" si="0"/>
        <v>-18000</v>
      </c>
      <c r="E10" s="15" t="str">
        <f t="shared" si="1"/>
        <v>excedido</v>
      </c>
      <c r="F10" s="27">
        <f t="shared" si="2"/>
        <v>1.0720000000000001</v>
      </c>
    </row>
    <row r="11" spans="1:6" x14ac:dyDescent="0.3">
      <c r="A11" s="4" t="s">
        <v>226</v>
      </c>
      <c r="B11" s="19">
        <v>300000</v>
      </c>
      <c r="C11" s="19">
        <v>300000</v>
      </c>
      <c r="D11" s="26">
        <f t="shared" si="0"/>
        <v>0</v>
      </c>
      <c r="E11" s="15" t="str">
        <f t="shared" si="1"/>
        <v>dentro</v>
      </c>
      <c r="F11" s="27">
        <f t="shared" si="2"/>
        <v>1</v>
      </c>
    </row>
    <row r="12" spans="1:6" x14ac:dyDescent="0.3">
      <c r="A12" s="16" t="s">
        <v>227</v>
      </c>
      <c r="B12" s="21">
        <v>150000</v>
      </c>
      <c r="C12" s="21">
        <v>90000</v>
      </c>
      <c r="D12" s="26">
        <f t="shared" si="0"/>
        <v>60000</v>
      </c>
      <c r="E12" s="15" t="str">
        <f t="shared" si="1"/>
        <v>dentro</v>
      </c>
      <c r="F12" s="27">
        <f t="shared" si="2"/>
        <v>0.6</v>
      </c>
    </row>
    <row r="13" spans="1:6" x14ac:dyDescent="0.3">
      <c r="A13" s="4" t="s">
        <v>228</v>
      </c>
      <c r="B13" s="19">
        <v>120000</v>
      </c>
      <c r="C13" s="19">
        <v>195000</v>
      </c>
      <c r="D13" s="26">
        <f t="shared" si="0"/>
        <v>-75000</v>
      </c>
      <c r="E13" s="15" t="str">
        <f t="shared" si="1"/>
        <v>excedido</v>
      </c>
      <c r="F13" s="27">
        <f t="shared" si="2"/>
        <v>1.625</v>
      </c>
    </row>
    <row r="14" spans="1:6" x14ac:dyDescent="0.3">
      <c r="A14" s="16" t="s">
        <v>229</v>
      </c>
      <c r="B14" s="21">
        <v>100000</v>
      </c>
      <c r="C14" s="21">
        <v>60000</v>
      </c>
      <c r="D14" s="26">
        <f t="shared" si="0"/>
        <v>40000</v>
      </c>
      <c r="E14" s="15" t="str">
        <f t="shared" si="1"/>
        <v>dentro</v>
      </c>
      <c r="F14" s="27">
        <f t="shared" si="2"/>
        <v>0.6</v>
      </c>
    </row>
    <row r="15" spans="1:6" x14ac:dyDescent="0.3">
      <c r="A15" s="4" t="s">
        <v>230</v>
      </c>
      <c r="B15" s="19">
        <v>200000</v>
      </c>
      <c r="C15" s="19">
        <v>150000</v>
      </c>
      <c r="D15" s="26">
        <f t="shared" si="0"/>
        <v>50000</v>
      </c>
      <c r="E15" s="15" t="str">
        <f t="shared" si="1"/>
        <v>dentro</v>
      </c>
      <c r="F15" s="27">
        <f t="shared" si="2"/>
        <v>0.75</v>
      </c>
    </row>
    <row r="17" spans="1:2" x14ac:dyDescent="0.3">
      <c r="A17" s="5" t="s">
        <v>231</v>
      </c>
      <c r="B17" s="20">
        <f>SUM(B7:B15)</f>
        <v>2820000</v>
      </c>
    </row>
    <row r="18" spans="1:2" x14ac:dyDescent="0.3">
      <c r="A18" s="5" t="s">
        <v>232</v>
      </c>
      <c r="B18" s="20">
        <f>SUM(C7:C15)</f>
        <v>2823000</v>
      </c>
    </row>
    <row r="19" spans="1:2" x14ac:dyDescent="0.3">
      <c r="A19" s="5" t="s">
        <v>233</v>
      </c>
      <c r="B19" s="26">
        <f>B17-B18</f>
        <v>-3000</v>
      </c>
    </row>
    <row r="20" spans="1:2" x14ac:dyDescent="0.3">
      <c r="A20" s="5" t="s">
        <v>234</v>
      </c>
      <c r="B20" s="15">
        <f>COUNTIF(E7:E15,"excedido")</f>
        <v>3</v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0"/>
  <sheetViews>
    <sheetView showGridLines="0" tabSelected="1" workbookViewId="0">
      <selection activeCell="B20" sqref="B20"/>
    </sheetView>
  </sheetViews>
  <sheetFormatPr baseColWidth="10" defaultColWidth="8.88671875" defaultRowHeight="14.4" x14ac:dyDescent="0.3"/>
  <cols>
    <col min="1" max="1" width="32" customWidth="1"/>
    <col min="2" max="2" width="9" customWidth="1"/>
    <col min="3" max="3" width="11" customWidth="1"/>
    <col min="4" max="4" width="9" customWidth="1"/>
    <col min="5" max="5" width="13" customWidth="1"/>
    <col min="6" max="6" width="15" customWidth="1"/>
    <col min="7" max="7" width="16" customWidth="1"/>
    <col min="8" max="8" width="8" customWidth="1"/>
    <col min="9" max="9" width="10" customWidth="1"/>
    <col min="10" max="10" width="8.44140625" bestFit="1" customWidth="1"/>
  </cols>
  <sheetData>
    <row r="1" spans="1:10" ht="17.399999999999999" x14ac:dyDescent="0.3">
      <c r="A1" s="1" t="s">
        <v>235</v>
      </c>
    </row>
    <row r="2" spans="1:10" ht="60" customHeight="1" x14ac:dyDescent="0.3">
      <c r="A2" s="29" t="s">
        <v>236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x14ac:dyDescent="0.3">
      <c r="A3" s="31" t="s">
        <v>237</v>
      </c>
      <c r="B3" s="30"/>
      <c r="C3" s="30"/>
      <c r="D3" s="30"/>
      <c r="E3" s="30"/>
      <c r="F3" s="30"/>
      <c r="G3" s="30"/>
      <c r="H3" s="30"/>
      <c r="I3" s="30"/>
      <c r="J3" s="30"/>
    </row>
    <row r="4" spans="1:10" x14ac:dyDescent="0.3">
      <c r="A4" s="32" t="s">
        <v>44</v>
      </c>
      <c r="B4" s="30"/>
      <c r="C4" s="30"/>
      <c r="D4" s="30"/>
      <c r="E4" s="30"/>
      <c r="F4" s="30"/>
      <c r="G4" s="30"/>
      <c r="H4" s="30"/>
      <c r="I4" s="30"/>
      <c r="J4" s="30"/>
    </row>
    <row r="6" spans="1:10" x14ac:dyDescent="0.3">
      <c r="A6" s="10" t="s">
        <v>238</v>
      </c>
      <c r="B6" s="10" t="s">
        <v>239</v>
      </c>
      <c r="C6" s="10" t="s">
        <v>240</v>
      </c>
      <c r="D6" s="10" t="s">
        <v>241</v>
      </c>
      <c r="E6" s="10" t="s">
        <v>242</v>
      </c>
      <c r="F6" s="10" t="s">
        <v>243</v>
      </c>
      <c r="G6" s="10" t="s">
        <v>244</v>
      </c>
      <c r="H6" s="10" t="s">
        <v>245</v>
      </c>
      <c r="I6" s="10" t="s">
        <v>246</v>
      </c>
      <c r="J6" s="10" t="s">
        <v>247</v>
      </c>
    </row>
    <row r="7" spans="1:10" x14ac:dyDescent="0.3">
      <c r="A7" s="4" t="s">
        <v>248</v>
      </c>
      <c r="B7" s="13">
        <v>4</v>
      </c>
      <c r="C7" s="13">
        <v>3</v>
      </c>
      <c r="D7" s="13">
        <v>3</v>
      </c>
      <c r="E7" s="13">
        <v>12</v>
      </c>
      <c r="F7" s="13">
        <v>12</v>
      </c>
      <c r="G7" s="15">
        <f>SUM(B7:D7)</f>
        <v>10</v>
      </c>
      <c r="H7" s="15">
        <f>(B7*3)+(C7*1)</f>
        <v>15</v>
      </c>
      <c r="I7" s="28">
        <f>E7-F7</f>
        <v>0</v>
      </c>
      <c r="J7" s="15"/>
    </row>
    <row r="8" spans="1:10" x14ac:dyDescent="0.3">
      <c r="A8" s="16" t="s">
        <v>249</v>
      </c>
      <c r="B8" s="17">
        <v>6</v>
      </c>
      <c r="C8" s="17">
        <v>0</v>
      </c>
      <c r="D8" s="17">
        <v>4</v>
      </c>
      <c r="E8" s="17">
        <v>17</v>
      </c>
      <c r="F8" s="17">
        <v>11</v>
      </c>
      <c r="G8" s="15">
        <f t="shared" ref="G8:G14" si="0">SUM(B8:D8)</f>
        <v>10</v>
      </c>
      <c r="H8" s="15">
        <f t="shared" ref="H8:H14" si="1">(B8*3)+(C8*1)</f>
        <v>18</v>
      </c>
      <c r="I8" s="28">
        <f t="shared" ref="I8:I14" si="2">E8-F8</f>
        <v>6</v>
      </c>
      <c r="J8" s="15" t="e">
        <f t="shared" ref="J8:J14" si="3">_xlfn.RANK.EQ(8,H8:H15)</f>
        <v>#N/A</v>
      </c>
    </row>
    <row r="9" spans="1:10" x14ac:dyDescent="0.3">
      <c r="A9" s="4" t="s">
        <v>250</v>
      </c>
      <c r="B9" s="13">
        <v>8</v>
      </c>
      <c r="C9" s="13">
        <v>2</v>
      </c>
      <c r="D9" s="13">
        <v>0</v>
      </c>
      <c r="E9" s="13">
        <v>23</v>
      </c>
      <c r="F9" s="13">
        <v>2</v>
      </c>
      <c r="G9" s="15">
        <f t="shared" si="0"/>
        <v>10</v>
      </c>
      <c r="H9" s="15">
        <f t="shared" si="1"/>
        <v>26</v>
      </c>
      <c r="I9" s="28">
        <f t="shared" si="2"/>
        <v>21</v>
      </c>
      <c r="J9" s="15" t="e">
        <f t="shared" si="3"/>
        <v>#N/A</v>
      </c>
    </row>
    <row r="10" spans="1:10" x14ac:dyDescent="0.3">
      <c r="A10" s="16" t="s">
        <v>251</v>
      </c>
      <c r="B10" s="17">
        <v>3</v>
      </c>
      <c r="C10" s="17">
        <v>1</v>
      </c>
      <c r="D10" s="17">
        <v>6</v>
      </c>
      <c r="E10" s="17">
        <v>8</v>
      </c>
      <c r="F10" s="17">
        <v>13</v>
      </c>
      <c r="G10" s="15">
        <f t="shared" si="0"/>
        <v>10</v>
      </c>
      <c r="H10" s="15">
        <f t="shared" si="1"/>
        <v>10</v>
      </c>
      <c r="I10" s="28">
        <f t="shared" si="2"/>
        <v>-5</v>
      </c>
      <c r="J10" s="15" t="e">
        <f t="shared" si="3"/>
        <v>#N/A</v>
      </c>
    </row>
    <row r="11" spans="1:10" x14ac:dyDescent="0.3">
      <c r="A11" s="4" t="s">
        <v>252</v>
      </c>
      <c r="B11" s="13">
        <v>3</v>
      </c>
      <c r="C11" s="13">
        <v>4</v>
      </c>
      <c r="D11" s="13">
        <v>3</v>
      </c>
      <c r="E11" s="13">
        <v>13</v>
      </c>
      <c r="F11" s="13">
        <v>15</v>
      </c>
      <c r="G11" s="15">
        <f t="shared" si="0"/>
        <v>10</v>
      </c>
      <c r="H11" s="15">
        <f t="shared" si="1"/>
        <v>13</v>
      </c>
      <c r="I11" s="28">
        <f t="shared" si="2"/>
        <v>-2</v>
      </c>
      <c r="J11" s="15" t="e">
        <f t="shared" si="3"/>
        <v>#N/A</v>
      </c>
    </row>
    <row r="12" spans="1:10" x14ac:dyDescent="0.3">
      <c r="A12" s="16" t="s">
        <v>253</v>
      </c>
      <c r="B12" s="17">
        <v>3</v>
      </c>
      <c r="C12" s="17">
        <v>4</v>
      </c>
      <c r="D12" s="17">
        <v>3</v>
      </c>
      <c r="E12" s="17">
        <v>14</v>
      </c>
      <c r="F12" s="17">
        <v>13</v>
      </c>
      <c r="G12" s="15">
        <f t="shared" si="0"/>
        <v>10</v>
      </c>
      <c r="H12" s="15">
        <f t="shared" si="1"/>
        <v>13</v>
      </c>
      <c r="I12" s="28">
        <f t="shared" si="2"/>
        <v>1</v>
      </c>
      <c r="J12" s="15" t="e">
        <f t="shared" si="3"/>
        <v>#N/A</v>
      </c>
    </row>
    <row r="13" spans="1:10" x14ac:dyDescent="0.3">
      <c r="A13" s="4" t="s">
        <v>254</v>
      </c>
      <c r="B13" s="13">
        <v>6</v>
      </c>
      <c r="C13" s="13">
        <v>1</v>
      </c>
      <c r="D13" s="13">
        <v>3</v>
      </c>
      <c r="E13" s="13">
        <v>17</v>
      </c>
      <c r="F13" s="13">
        <v>11</v>
      </c>
      <c r="G13" s="15">
        <f t="shared" si="0"/>
        <v>10</v>
      </c>
      <c r="H13" s="15">
        <f t="shared" si="1"/>
        <v>19</v>
      </c>
      <c r="I13" s="28">
        <f t="shared" si="2"/>
        <v>6</v>
      </c>
      <c r="J13" s="15" t="e">
        <f t="shared" si="3"/>
        <v>#N/A</v>
      </c>
    </row>
    <row r="14" spans="1:10" x14ac:dyDescent="0.3">
      <c r="A14" s="16" t="s">
        <v>255</v>
      </c>
      <c r="B14" s="17">
        <v>3</v>
      </c>
      <c r="C14" s="17">
        <v>0</v>
      </c>
      <c r="D14" s="17">
        <v>7</v>
      </c>
      <c r="E14" s="17">
        <v>6</v>
      </c>
      <c r="F14" s="17">
        <v>19</v>
      </c>
      <c r="G14" s="15">
        <f t="shared" si="0"/>
        <v>10</v>
      </c>
      <c r="H14" s="15">
        <f t="shared" si="1"/>
        <v>9</v>
      </c>
      <c r="I14" s="28">
        <f t="shared" si="2"/>
        <v>-13</v>
      </c>
      <c r="J14" s="15" t="e">
        <f t="shared" si="3"/>
        <v>#N/A</v>
      </c>
    </row>
    <row r="16" spans="1:10" x14ac:dyDescent="0.3">
      <c r="A16" s="5" t="s">
        <v>256</v>
      </c>
      <c r="B16" s="15">
        <f>MAX(H7:H14)</f>
        <v>26</v>
      </c>
    </row>
    <row r="17" spans="1:2" x14ac:dyDescent="0.3">
      <c r="A17" s="5" t="s">
        <v>257</v>
      </c>
      <c r="B17" s="15">
        <f>SUM(E7:E14)</f>
        <v>110</v>
      </c>
    </row>
    <row r="18" spans="1:2" x14ac:dyDescent="0.3">
      <c r="A18" s="5" t="s">
        <v>258</v>
      </c>
      <c r="B18" s="15">
        <f>COUNTIF(H7:H14,"&gt;=15")</f>
        <v>4</v>
      </c>
    </row>
    <row r="19" spans="1:2" x14ac:dyDescent="0.3">
      <c r="A19" s="5" t="s">
        <v>259</v>
      </c>
      <c r="B19" s="15" t="str">
        <f>A9</f>
        <v>Águilas</v>
      </c>
    </row>
    <row r="20" spans="1:2" x14ac:dyDescent="0.3">
      <c r="B20" s="35"/>
    </row>
  </sheetData>
  <mergeCells count="3">
    <mergeCell ref="A4:J4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1 Notas</vt:lpstr>
      <vt:lpstr>2 Ventas</vt:lpstr>
      <vt:lpstr>3 Inventario</vt:lpstr>
      <vt:lpstr>4 Nómina</vt:lpstr>
      <vt:lpstr>5 Factura</vt:lpstr>
      <vt:lpstr>6 Descuentos</vt:lpstr>
      <vt:lpstr>7 Temperaturas</vt:lpstr>
      <vt:lpstr>8 Asistencia</vt:lpstr>
      <vt:lpstr>9 Presupuesto</vt:lpstr>
      <vt:lpstr>10 Liga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Preciado</cp:lastModifiedBy>
  <dcterms:created xsi:type="dcterms:W3CDTF">2026-09-12T12:14:55Z</dcterms:created>
  <dcterms:modified xsi:type="dcterms:W3CDTF">2026-09-12T17:06:07Z</dcterms:modified>
</cp:coreProperties>
</file>